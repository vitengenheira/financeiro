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Curso Técnico\"/>
    </mc:Choice>
  </mc:AlternateContent>
  <xr:revisionPtr revIDLastSave="0" documentId="13_ncr:1_{9DD23A52-B4CD-4563-B7E2-26E60DD2D336}" xr6:coauthVersionLast="47" xr6:coauthVersionMax="47" xr10:uidLastSave="{00000000-0000-0000-0000-000000000000}"/>
  <bookViews>
    <workbookView xWindow="-108" yWindow="-108" windowWidth="23256" windowHeight="12576" tabRatio="691" firstSheet="4" activeTab="13" xr2:uid="{00000000-000D-0000-FFFF-FFFF00000000}"/>
  </bookViews>
  <sheets>
    <sheet name="Fevereiro" sheetId="3" r:id="rId1"/>
    <sheet name="Março" sheetId="4" r:id="rId2"/>
    <sheet name="Abril" sheetId="5" r:id="rId3"/>
    <sheet name="Maio" sheetId="7" r:id="rId4"/>
    <sheet name="Junho" sheetId="8" r:id="rId5"/>
    <sheet name="Julho" sheetId="9" r:id="rId6"/>
    <sheet name="Agosto" sheetId="11" r:id="rId7"/>
    <sheet name="Setembro" sheetId="10" r:id="rId8"/>
    <sheet name="OUTUBRO" sheetId="12" r:id="rId9"/>
    <sheet name="NOVEMBRO" sheetId="19" r:id="rId10"/>
    <sheet name="DEZEMBRO" sheetId="18" r:id="rId11"/>
    <sheet name="JANEIRO.2026" sheetId="20" r:id="rId12"/>
    <sheet name="Caixa 2026" sheetId="21" r:id="rId13"/>
    <sheet name="Alunos" sheetId="1" r:id="rId14"/>
    <sheet name="PENDENCIAS" sheetId="17" r:id="rId15"/>
    <sheet name="Saldo" sheetId="6" r:id="rId16"/>
  </sheets>
  <definedNames>
    <definedName name="_xlnm._FilterDatabase" localSheetId="2" hidden="1">Abril!$A$2:$D$10</definedName>
    <definedName name="_xlnm._FilterDatabase" localSheetId="6" hidden="1">Agosto!$A$2:$D$11</definedName>
    <definedName name="_xlnm._FilterDatabase" localSheetId="13" hidden="1">Alunos!$A$4:$K$17</definedName>
    <definedName name="_xlnm._FilterDatabase" localSheetId="12" hidden="1">'Caixa 2026'!$A$1:$D$104</definedName>
    <definedName name="_xlnm._FilterDatabase" localSheetId="10" hidden="1">DEZEMBRO!$A$2:$E$8</definedName>
    <definedName name="_xlnm._FilterDatabase" localSheetId="0" hidden="1">Fevereiro!$A$2:$D$13</definedName>
    <definedName name="_xlnm._FilterDatabase" localSheetId="11" hidden="1">JANEIRO.2026!$A$2:$E$6</definedName>
    <definedName name="_xlnm._FilterDatabase" localSheetId="5" hidden="1">Julho!$A$2:$D$12</definedName>
    <definedName name="_xlnm._FilterDatabase" localSheetId="4" hidden="1">Junho!$A$2:$D$12</definedName>
    <definedName name="_xlnm._FilterDatabase" localSheetId="3" hidden="1">Maio!$A$2:$D$12</definedName>
    <definedName name="_xlnm._FilterDatabase" localSheetId="1" hidden="1">Março!$A$2:$D$13</definedName>
    <definedName name="_xlnm._FilterDatabase" localSheetId="9" hidden="1">NOVEMBRO!$A$2:$E$14</definedName>
    <definedName name="_xlnm._FilterDatabase" localSheetId="8" hidden="1">OUTUBRO!$A$2:$E$14</definedName>
    <definedName name="_xlnm._FilterDatabase" localSheetId="14" hidden="1">PENDENCIAS!$A$2:$E$9</definedName>
    <definedName name="_xlnm._FilterDatabase" localSheetId="7" hidden="1">Setembro!$A$2:$D$10</definedName>
  </definedNames>
  <calcPr calcId="191029"/>
  <extLst>
    <ext uri="GoogleSheetsCustomDataVersion2">
      <go:sheetsCustomData xmlns:go="http://customooxmlschemas.google.com/" r:id="rId17" roundtripDataChecksum="/K2EeFCCYaazaQPk5s2eqZMDdQKmhKm/OvSmCtH6qRI="/>
    </ext>
  </extLst>
</workbook>
</file>

<file path=xl/calcChain.xml><?xml version="1.0" encoding="utf-8"?>
<calcChain xmlns="http://schemas.openxmlformats.org/spreadsheetml/2006/main">
  <c r="E16" i="19" l="1"/>
  <c r="E14" i="19"/>
  <c r="E15" i="19"/>
  <c r="E16" i="12"/>
  <c r="D2" i="21"/>
  <c r="D3" i="21" s="1"/>
  <c r="D4" i="21" s="1"/>
  <c r="D5" i="21" s="1"/>
  <c r="D6" i="21" s="1"/>
  <c r="D7" i="21" s="1"/>
  <c r="D8" i="21" s="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D37" i="21" s="1"/>
  <c r="D38" i="21" s="1"/>
  <c r="D39" i="21" s="1"/>
  <c r="D40" i="21" s="1"/>
  <c r="D41" i="21" s="1"/>
  <c r="D42" i="21" s="1"/>
  <c r="D43" i="21" s="1"/>
  <c r="D44" i="21" s="1"/>
  <c r="D45" i="21" s="1"/>
  <c r="D46" i="21" s="1"/>
  <c r="D47" i="21" s="1"/>
  <c r="D48" i="21" s="1"/>
  <c r="D49" i="21" s="1"/>
  <c r="D50" i="21" s="1"/>
  <c r="D51" i="21" s="1"/>
  <c r="D52" i="21" s="1"/>
  <c r="D53" i="21" s="1"/>
  <c r="D54" i="21" s="1"/>
  <c r="D55" i="21" s="1"/>
  <c r="D56" i="21" s="1"/>
  <c r="D57" i="21" s="1"/>
  <c r="D58" i="21" s="1"/>
  <c r="D59" i="21" s="1"/>
  <c r="D60" i="21" s="1"/>
  <c r="D61" i="21" s="1"/>
  <c r="D62" i="21" s="1"/>
  <c r="D63" i="21" s="1"/>
  <c r="D64" i="21" s="1"/>
  <c r="D65" i="21" s="1"/>
  <c r="D66" i="21" s="1"/>
  <c r="D67" i="21" s="1"/>
  <c r="D68" i="21" s="1"/>
  <c r="D69" i="21" s="1"/>
  <c r="D70" i="21" s="1"/>
  <c r="D71" i="21" s="1"/>
  <c r="D72" i="21" s="1"/>
  <c r="D73" i="21" s="1"/>
  <c r="D74" i="21" s="1"/>
  <c r="D75" i="21" s="1"/>
  <c r="D76" i="21" s="1"/>
  <c r="D77" i="21" s="1"/>
  <c r="D78" i="21" s="1"/>
  <c r="D79" i="21" s="1"/>
  <c r="D80" i="21" s="1"/>
  <c r="D81" i="21" s="1"/>
  <c r="D82" i="21" s="1"/>
  <c r="D83" i="21" s="1"/>
  <c r="D84" i="21" s="1"/>
  <c r="D85" i="21" s="1"/>
  <c r="D86" i="21" s="1"/>
  <c r="D87" i="21" s="1"/>
  <c r="D88" i="21" s="1"/>
  <c r="D89" i="21" s="1"/>
  <c r="D90" i="21" s="1"/>
  <c r="D91" i="21" s="1"/>
  <c r="D92" i="21" s="1"/>
  <c r="D93" i="21" s="1"/>
  <c r="D94" i="21" s="1"/>
  <c r="D95" i="21" s="1"/>
  <c r="D96" i="21" s="1"/>
  <c r="D97" i="21" s="1"/>
  <c r="D98" i="21" s="1"/>
  <c r="D99" i="21" s="1"/>
  <c r="D100" i="21" s="1"/>
  <c r="D101" i="21" s="1"/>
  <c r="D102" i="21" s="1"/>
  <c r="D103" i="21" s="1"/>
  <c r="D104" i="21" s="1"/>
  <c r="D26" i="20"/>
  <c r="E3" i="20"/>
  <c r="E4" i="20" s="1"/>
  <c r="E5" i="20" s="1"/>
  <c r="D28" i="18"/>
  <c r="D27" i="19"/>
  <c r="E3" i="19"/>
  <c r="E4" i="19"/>
  <c r="E5" i="19" s="1"/>
  <c r="E6" i="19" s="1"/>
  <c r="E4" i="18"/>
  <c r="E5" i="18" s="1"/>
  <c r="E6" i="18" s="1"/>
  <c r="E3" i="18"/>
  <c r="C24" i="10"/>
  <c r="E3" i="17"/>
  <c r="E4" i="17" s="1"/>
  <c r="E5" i="17" s="1"/>
  <c r="D27" i="12"/>
  <c r="E3" i="12"/>
  <c r="E4" i="12" s="1"/>
  <c r="E5" i="12" s="1"/>
  <c r="E6" i="12" s="1"/>
  <c r="D4" i="10"/>
  <c r="D5" i="10" s="1"/>
  <c r="D6" i="10" s="1"/>
  <c r="D7" i="10" s="1"/>
  <c r="D3" i="10"/>
  <c r="D4" i="11"/>
  <c r="D3" i="11"/>
  <c r="D3" i="9"/>
  <c r="D4" i="9"/>
  <c r="C28" i="11"/>
  <c r="D5" i="11"/>
  <c r="D6" i="11" s="1"/>
  <c r="D7" i="11" s="1"/>
  <c r="D8" i="10"/>
  <c r="C26" i="9"/>
  <c r="D3" i="8"/>
  <c r="D4" i="8" s="1"/>
  <c r="D5" i="8" s="1"/>
  <c r="D14" i="7"/>
  <c r="D13" i="7"/>
  <c r="D3" i="7"/>
  <c r="D3" i="5"/>
  <c r="D4" i="7"/>
  <c r="D5" i="7" s="1"/>
  <c r="D6" i="7" s="1"/>
  <c r="D7" i="7" s="1"/>
  <c r="D8" i="7" s="1"/>
  <c r="D4" i="5"/>
  <c r="D5" i="5" s="1"/>
  <c r="D6" i="5" s="1"/>
  <c r="D7" i="5" s="1"/>
  <c r="D8" i="5" s="1"/>
  <c r="D9" i="5" s="1"/>
  <c r="D10" i="5" s="1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3" i="3"/>
  <c r="D4" i="3" s="1"/>
  <c r="D5" i="3" s="1"/>
  <c r="D6" i="3" s="1"/>
  <c r="D7" i="3" s="1"/>
  <c r="D8" i="3" s="1"/>
  <c r="D9" i="3" s="1"/>
  <c r="D10" i="3" s="1"/>
  <c r="D11" i="3" s="1"/>
  <c r="D11" i="5"/>
  <c r="D12" i="5"/>
  <c r="D13" i="5"/>
  <c r="D14" i="5"/>
  <c r="D15" i="5"/>
  <c r="D16" i="5"/>
  <c r="E6" i="17" l="1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7" i="12"/>
  <c r="E8" i="12" s="1"/>
  <c r="E9" i="12" s="1"/>
  <c r="E10" i="12" s="1"/>
  <c r="E11" i="12" s="1"/>
  <c r="E12" i="12" s="1"/>
  <c r="E6" i="20"/>
  <c r="E7" i="20" s="1"/>
  <c r="E8" i="20" s="1"/>
  <c r="E9" i="20" s="1"/>
  <c r="E10" i="20" s="1"/>
  <c r="E7" i="18"/>
  <c r="E8" i="18" s="1"/>
  <c r="E9" i="18" s="1"/>
  <c r="E7" i="19"/>
  <c r="E8" i="19" s="1"/>
  <c r="E9" i="19" s="1"/>
  <c r="E10" i="19"/>
  <c r="E11" i="19" s="1"/>
  <c r="E12" i="19" s="1"/>
  <c r="E13" i="19" s="1"/>
  <c r="E17" i="19" s="1"/>
  <c r="E18" i="19" s="1"/>
  <c r="E19" i="19" s="1"/>
  <c r="E20" i="19" s="1"/>
  <c r="E21" i="19" s="1"/>
  <c r="E22" i="19" s="1"/>
  <c r="E13" i="12"/>
  <c r="E14" i="12" s="1"/>
  <c r="E15" i="12" s="1"/>
  <c r="E17" i="12" s="1"/>
  <c r="E18" i="12" s="1"/>
  <c r="E19" i="12" s="1"/>
  <c r="E20" i="12" s="1"/>
  <c r="E21" i="12" s="1"/>
  <c r="E22" i="12" s="1"/>
  <c r="D8" i="1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9" i="10"/>
  <c r="D10" i="10" s="1"/>
  <c r="D5" i="9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6" i="8"/>
  <c r="D7" i="8" s="1"/>
  <c r="D8" i="8" s="1"/>
  <c r="D9" i="8" s="1"/>
  <c r="D9" i="7"/>
  <c r="D10" i="7" s="1"/>
  <c r="D11" i="7" s="1"/>
  <c r="D12" i="7" s="1"/>
  <c r="D15" i="7" s="1"/>
  <c r="D16" i="7" s="1"/>
  <c r="D17" i="7" s="1"/>
  <c r="D18" i="7" s="1"/>
  <c r="D11" i="10" l="1"/>
  <c r="D12" i="10" s="1"/>
  <c r="D13" i="10" s="1"/>
  <c r="D14" i="10" s="1"/>
  <c r="D15" i="10" s="1"/>
  <c r="D16" i="10" s="1"/>
  <c r="D17" i="10" s="1"/>
  <c r="D10" i="8"/>
  <c r="D11" i="8" s="1"/>
  <c r="D12" i="8" s="1"/>
  <c r="D13" i="8" s="1"/>
  <c r="E10" i="18" l="1"/>
  <c r="E11" i="18" s="1"/>
  <c r="E12" i="18" s="1"/>
  <c r="E13" i="18" s="1"/>
  <c r="E14" i="18" s="1"/>
  <c r="E15" i="18" s="1"/>
  <c r="E16" i="18" s="1"/>
  <c r="D14" i="8"/>
  <c r="D15" i="8" s="1"/>
  <c r="D16" i="8" s="1"/>
  <c r="D17" i="8" s="1"/>
  <c r="D18" i="8" s="1"/>
  <c r="D19" i="8" s="1"/>
  <c r="D20" i="8" s="1"/>
</calcChain>
</file>

<file path=xl/sharedStrings.xml><?xml version="1.0" encoding="utf-8"?>
<sst xmlns="http://schemas.openxmlformats.org/spreadsheetml/2006/main" count="561" uniqueCount="214">
  <si>
    <t>Aluno</t>
  </si>
  <si>
    <t>Contato</t>
  </si>
  <si>
    <t xml:space="preserve">Data da Matricula </t>
  </si>
  <si>
    <t>Valor Matricula</t>
  </si>
  <si>
    <t>Mensalidade</t>
  </si>
  <si>
    <t>Vencimento</t>
  </si>
  <si>
    <t>Data do U. Pag</t>
  </si>
  <si>
    <t>Penden. Docum</t>
  </si>
  <si>
    <t>Qual Documento?</t>
  </si>
  <si>
    <t>Bolsita</t>
  </si>
  <si>
    <t>Heloise Lima Santana</t>
  </si>
  <si>
    <t>(73)98882-1991</t>
  </si>
  <si>
    <t>R$ 80</t>
  </si>
  <si>
    <t>R$ 200</t>
  </si>
  <si>
    <t>DIA 15</t>
  </si>
  <si>
    <t>--</t>
  </si>
  <si>
    <t>NÃO</t>
  </si>
  <si>
    <t>Miqueias Souza dos Santos</t>
  </si>
  <si>
    <t>(73)998403092</t>
  </si>
  <si>
    <t>Marcia Ribeiro Barbosa</t>
  </si>
  <si>
    <t>(73)98850-0345</t>
  </si>
  <si>
    <t>SIM</t>
  </si>
  <si>
    <t>Histórico Escolar</t>
  </si>
  <si>
    <t>Carla Helid Oliveira Souza</t>
  </si>
  <si>
    <t>(73)98896-1123</t>
  </si>
  <si>
    <t>DIA 10</t>
  </si>
  <si>
    <t>Karine Castro dos Santos</t>
  </si>
  <si>
    <t>(73)98885-1724</t>
  </si>
  <si>
    <t>Ana Cristina Paiva dos Santos</t>
  </si>
  <si>
    <t>(73)99110-6412</t>
  </si>
  <si>
    <t xml:space="preserve">Cursando </t>
  </si>
  <si>
    <t>Lara Fabiola Moura Neves</t>
  </si>
  <si>
    <t>(73)99113-4657</t>
  </si>
  <si>
    <t>DIA 30</t>
  </si>
  <si>
    <t>Daiana Brandão da Silva</t>
  </si>
  <si>
    <t>(73)98887-1316</t>
  </si>
  <si>
    <t>Carolaine Silva Sena</t>
  </si>
  <si>
    <t>(73)98150-8074</t>
  </si>
  <si>
    <t>Fernanda Santos Almeida</t>
  </si>
  <si>
    <t>(73)98193-0794</t>
  </si>
  <si>
    <t>Carolina Lima dos Santos</t>
  </si>
  <si>
    <t>(73)98245-5513</t>
  </si>
  <si>
    <t>R$ 130</t>
  </si>
  <si>
    <t>Histórico E + FOTO</t>
  </si>
  <si>
    <t>MEIA BOLSA</t>
  </si>
  <si>
    <t>(73)98849-6922</t>
  </si>
  <si>
    <t>Jeruza Souza Dos Santos</t>
  </si>
  <si>
    <t>(73)99194-3502</t>
  </si>
  <si>
    <t>Bolsa Completa</t>
  </si>
  <si>
    <t>Data</t>
  </si>
  <si>
    <t>Lançamento</t>
  </si>
  <si>
    <t>Valor</t>
  </si>
  <si>
    <t>Saldo</t>
  </si>
  <si>
    <t xml:space="preserve">Matricula Heloise </t>
  </si>
  <si>
    <t>Matricula Miqueias</t>
  </si>
  <si>
    <t>Matricula Márcia</t>
  </si>
  <si>
    <t>Matricula Ana Cristine</t>
  </si>
  <si>
    <t>Matricula Karine</t>
  </si>
  <si>
    <t>Matricula Fernanda</t>
  </si>
  <si>
    <t xml:space="preserve">Matricula Lara Fabiola </t>
  </si>
  <si>
    <t xml:space="preserve">Impressos Matricula </t>
  </si>
  <si>
    <t xml:space="preserve">Divulgação Carro de som </t>
  </si>
  <si>
    <t>Matricula Carla Helid</t>
  </si>
  <si>
    <t>Matricula Daiana Brandão</t>
  </si>
  <si>
    <t>Matricula Carolaine Silva</t>
  </si>
  <si>
    <t>Matricula Carolina - MB</t>
  </si>
  <si>
    <t>Matricula de Andreia</t>
  </si>
  <si>
    <t>Matricula Sara Paula</t>
  </si>
  <si>
    <t>Mensalidade Marcia</t>
  </si>
  <si>
    <t>Mensalidade Heloise</t>
  </si>
  <si>
    <t>Mensalidade Miqueias</t>
  </si>
  <si>
    <t>Mensalidade Ana Cristine</t>
  </si>
  <si>
    <t>Mensalidade Karine</t>
  </si>
  <si>
    <t>Mensalidade Lara Fabiola</t>
  </si>
  <si>
    <t>Mensalidade Fernanda</t>
  </si>
  <si>
    <t>Materia Primeiros Socorros</t>
  </si>
  <si>
    <t>Cortinas</t>
  </si>
  <si>
    <t>Impressos prova</t>
  </si>
  <si>
    <t>Gastos com Ref+ Descartaveis Inauguração</t>
  </si>
  <si>
    <t>Mensalidade Daiana</t>
  </si>
  <si>
    <t>RECEITA FEVEREIRO</t>
  </si>
  <si>
    <t>VALOR BRUTO:</t>
  </si>
  <si>
    <t>DESPESAS:</t>
  </si>
  <si>
    <t>TOTAL:</t>
  </si>
  <si>
    <t xml:space="preserve">STAR TEC ( 50%) </t>
  </si>
  <si>
    <t>Enf. Maria D'Ajuda (25%)</t>
  </si>
  <si>
    <t>Enf.Gabryele Sena  (25%)</t>
  </si>
  <si>
    <t>RECEITA MARÇO</t>
  </si>
  <si>
    <t>Receita Fevereiro</t>
  </si>
  <si>
    <t>VALOR BRUTO MARÇO:</t>
  </si>
  <si>
    <t>Mensalidade Carol + Matricula</t>
  </si>
  <si>
    <t>VALOR BRUTO ABRIL:</t>
  </si>
  <si>
    <t>FEV</t>
  </si>
  <si>
    <t>MAR</t>
  </si>
  <si>
    <t>ABR</t>
  </si>
  <si>
    <t>MAI</t>
  </si>
  <si>
    <t>JUN</t>
  </si>
  <si>
    <t xml:space="preserve">Materia Nutrição e Dietica </t>
  </si>
  <si>
    <t>Mensalidade Carla</t>
  </si>
  <si>
    <t>Mensalidade Ana Cristina</t>
  </si>
  <si>
    <t>Mensalidade Sara Paula</t>
  </si>
  <si>
    <t>RECEITA ABRIL</t>
  </si>
  <si>
    <t>Mensalidade Carla Helid - Pendente</t>
  </si>
  <si>
    <t>RECEITA MAIO</t>
  </si>
  <si>
    <t>Receita de ABRIL</t>
  </si>
  <si>
    <t>Mensalidade Carolaine Sena</t>
  </si>
  <si>
    <t>Mensalidade Lara Fabiola (ABRIL)</t>
  </si>
  <si>
    <t>Mensalidade Carolina - MB (Abril/Maio)</t>
  </si>
  <si>
    <t>02/05/2025</t>
  </si>
  <si>
    <t>Materia Anatomia</t>
  </si>
  <si>
    <t>RECEITA JUNHO</t>
  </si>
  <si>
    <t>Receita de MAIO</t>
  </si>
  <si>
    <t xml:space="preserve"> 2º TURMA SEGUNDO SEMESTRE </t>
  </si>
  <si>
    <t>(73)98829-1347</t>
  </si>
  <si>
    <t xml:space="preserve"> 1º TURMA PRIMEIRO SEMESTRE </t>
  </si>
  <si>
    <t xml:space="preserve">Matricula Aloisio </t>
  </si>
  <si>
    <t>Midia Digital</t>
  </si>
  <si>
    <t xml:space="preserve">PAGAMENTO STAR TEC ( 50%) </t>
  </si>
  <si>
    <t>PAGAMENTO Enf. Maria D'Ajuda (25%)</t>
  </si>
  <si>
    <t>PAGAMENTO Enf.Gabryele Sena  (25%)</t>
  </si>
  <si>
    <t>Talia Santos de Jesus</t>
  </si>
  <si>
    <t>Jenifer Dantas dos Santos</t>
  </si>
  <si>
    <t>Flavia Carvalho de Jesus</t>
  </si>
  <si>
    <t>(73)98884-1824</t>
  </si>
  <si>
    <t>(73)99141-8135</t>
  </si>
  <si>
    <t>(73)98833-2448</t>
  </si>
  <si>
    <t>Mensalidade Carla Helid</t>
  </si>
  <si>
    <t>Mensalidade Ana Kristine</t>
  </si>
  <si>
    <t>Mensalidade Dayana</t>
  </si>
  <si>
    <t>Mensalidade Sarah</t>
  </si>
  <si>
    <t>PAGAMENTO SAÚDE PÚBLICA</t>
  </si>
  <si>
    <t>Receita de JUNHO</t>
  </si>
  <si>
    <t>Mensalidade Carolina</t>
  </si>
  <si>
    <t xml:space="preserve">Impressos Prova </t>
  </si>
  <si>
    <t>2 Pilotos e 3 metros de papel Madeira</t>
  </si>
  <si>
    <t>PAGAMENTO matéria Psicologia</t>
  </si>
  <si>
    <t>VALOR BRUTO JUNHO:</t>
  </si>
  <si>
    <t>VALOR BRUTO MAIO:</t>
  </si>
  <si>
    <t>VALOR BRUTO JULHO:</t>
  </si>
  <si>
    <t>Mensalidade Carol JUNHO</t>
  </si>
  <si>
    <t xml:space="preserve"> Mensalidade + Matricula Flavia Carvalho</t>
  </si>
  <si>
    <t>RECEITA JULHO</t>
  </si>
  <si>
    <t>RECEITA AGOSTO</t>
  </si>
  <si>
    <t>Receita de JULHO</t>
  </si>
  <si>
    <t>RECEITA SETEMBRO</t>
  </si>
  <si>
    <t>Receita de AGOSTO</t>
  </si>
  <si>
    <t xml:space="preserve"> Mensalidade Flavia Carvalho</t>
  </si>
  <si>
    <t>Mensalidade JUNHO + JULHO FERNANDA</t>
  </si>
  <si>
    <t>Mensalidade Flavia</t>
  </si>
  <si>
    <t>Mensalidade Thalia</t>
  </si>
  <si>
    <t>Mensalidade Thalia + matricula</t>
  </si>
  <si>
    <t>Mensalidade Thalia AGOSTO</t>
  </si>
  <si>
    <t>Mensalidade Carol Sena JUNHO/JULHO</t>
  </si>
  <si>
    <t>Mensalidade Carol Sena  AGOSTO</t>
  </si>
  <si>
    <t xml:space="preserve">Mensalidade Lara Fabiola </t>
  </si>
  <si>
    <t>Mensalidade Jeniffer</t>
  </si>
  <si>
    <t>Mensalidade JULHO+ MATRICULA Jennifer</t>
  </si>
  <si>
    <t>Pagamento da materia de Biossegurança</t>
  </si>
  <si>
    <t>Pagamento da materia de ética e cidadania</t>
  </si>
  <si>
    <t>Pagamento Materia de microbiologia</t>
  </si>
  <si>
    <t>VALOR BRUTO SETEMBRO:</t>
  </si>
  <si>
    <t>Aloísio José Araújo Lima (DESISTIU)</t>
  </si>
  <si>
    <t>Sara Paula Jesus dos Santos (TRANCOU)</t>
  </si>
  <si>
    <r>
      <t xml:space="preserve">Realizado Repasse Star Tec </t>
    </r>
    <r>
      <rPr>
        <b/>
        <sz val="11"/>
        <color rgb="FF388600"/>
        <rFont val="Calibri"/>
        <family val="2"/>
      </rPr>
      <t>(JUN/JUL/AGOS/20.SET)</t>
    </r>
  </si>
  <si>
    <t>Receita de OUTUBRO</t>
  </si>
  <si>
    <t>PENDENCIAS</t>
  </si>
  <si>
    <t>Mensalidade Carla Helid - MAIO</t>
  </si>
  <si>
    <t xml:space="preserve">Mensalidade  Jennifer </t>
  </si>
  <si>
    <t>Mensalidade Lara Fabiola - restante</t>
  </si>
  <si>
    <t>RECEITA OUTUBRO</t>
  </si>
  <si>
    <t>RECEITA NOVEMBRO</t>
  </si>
  <si>
    <t>RECEITA DEZEMBRO</t>
  </si>
  <si>
    <t>Mensalidade  Sara Paula</t>
  </si>
  <si>
    <t>ALUNO</t>
  </si>
  <si>
    <t>ACORDO</t>
  </si>
  <si>
    <t>EM ABERTO</t>
  </si>
  <si>
    <t>Mensalidade  Sara Paula AGO/SET/OUT/NOV</t>
  </si>
  <si>
    <t>Mensalidade Carol Sena</t>
  </si>
  <si>
    <t>Mensalidade Carol SENA</t>
  </si>
  <si>
    <t>200 +265</t>
  </si>
  <si>
    <t>100 + 132,5</t>
  </si>
  <si>
    <t>Receita de SETEMBRO</t>
  </si>
  <si>
    <t>FORMA</t>
  </si>
  <si>
    <t>PIX</t>
  </si>
  <si>
    <t>FORMA PAG</t>
  </si>
  <si>
    <t>Pagamento Materia Meio Ambiente</t>
  </si>
  <si>
    <t xml:space="preserve">Pagamento Impressos </t>
  </si>
  <si>
    <t>PAGAMENTO INTRODUÇÃO A ENF</t>
  </si>
  <si>
    <t>VALOR BRUTO NOVEMBRO:</t>
  </si>
  <si>
    <t>IMPRESSOS + OFICIOS</t>
  </si>
  <si>
    <t xml:space="preserve">PAGAMENTO Clinica Médica </t>
  </si>
  <si>
    <t>---</t>
  </si>
  <si>
    <t>02/12 ENTRADA E PARCELAMENTO</t>
  </si>
  <si>
    <t>02/12 FICOU DE CONVERSAR COMIGO</t>
  </si>
  <si>
    <t>Receita de NOVEMBRO</t>
  </si>
  <si>
    <t>-</t>
  </si>
  <si>
    <t>IMPRESSÃO FARMACOLOGIA PROVA2</t>
  </si>
  <si>
    <t>IMPRESSÃO FARMACOLOGIA PROVA1</t>
  </si>
  <si>
    <t>VALOR BRUTO DEZEMBRO:</t>
  </si>
  <si>
    <t>PAGAMENTO FARMACOLOGIA</t>
  </si>
  <si>
    <t>RECEITA JANEIRO</t>
  </si>
  <si>
    <t>Receita de DEZEMBRO</t>
  </si>
  <si>
    <t>VALOR BRUTO JANEIRO:</t>
  </si>
  <si>
    <t>PAGO 60,00 01/01 ( EM ABERTO )</t>
  </si>
  <si>
    <t>Mensalidade Flavia JAN.2026</t>
  </si>
  <si>
    <t>Mensalidade Thalia DEZ/JAN.2026</t>
  </si>
  <si>
    <t>Mensalidade  Jennifer - AGO/SET/OUT/NOV/DEZ/JAN.26</t>
  </si>
  <si>
    <t>Mensalidade Fernanda DEZ/JAN.26</t>
  </si>
  <si>
    <t xml:space="preserve">Antecipação da Materia Etica.Enf que não concluiu </t>
  </si>
  <si>
    <t>LARA FABIOLA MAI/ JUN/JUL/ REST.AGOS/SET/REST.OUT/ NOV/DEZ/JAN.26</t>
  </si>
  <si>
    <r>
      <t xml:space="preserve">Mensalidade Carol SENA </t>
    </r>
    <r>
      <rPr>
        <sz val="11"/>
        <color rgb="FFED0000"/>
        <rFont val="Calibri"/>
        <family val="2"/>
      </rPr>
      <t>(SETEMBRO)</t>
    </r>
  </si>
  <si>
    <t>Mensalidade Carol SENA  OUT/NOV/DEZ/JAN.26</t>
  </si>
  <si>
    <r>
      <t xml:space="preserve">Mensalidade Carolina </t>
    </r>
    <r>
      <rPr>
        <sz val="11"/>
        <color rgb="FFED0000"/>
        <rFont val="Calibri"/>
        <family val="2"/>
      </rPr>
      <t>(OUTUBRO)</t>
    </r>
  </si>
  <si>
    <t>Mensalidade Carolina NOV/DEZ/JAN.2026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</si>
</sst>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164" formatCode="_-&quot;R$&quot;\ * #,##0.00_-;\-&quot;R$&quot;\ * #,##0.00_-;_-&quot;R$&quot;\ * &quot;-&quot;??_-;_-@"/>
  </numFmts>
  <fonts count="27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sz val="11"/>
      <name val="Calibri"/>
    </font>
    <font>
      <b/>
      <sz val="11"/>
      <color rgb="FF6AA84F"/>
      <name val="Calibri"/>
    </font>
    <font>
      <b/>
      <sz val="11"/>
      <color theme="9"/>
      <name val="Calibri"/>
    </font>
    <font>
      <b/>
      <sz val="11"/>
      <color rgb="FF0000FF"/>
      <name val="Calibri"/>
    </font>
    <font>
      <sz val="11"/>
      <color rgb="FF38761D"/>
      <name val="Calibri"/>
    </font>
    <font>
      <b/>
      <sz val="11"/>
      <color rgb="FF38761D"/>
      <name val="Calibri"/>
    </font>
    <font>
      <b/>
      <sz val="11"/>
      <color rgb="FF70AD47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1"/>
      <color rgb="FFED0000"/>
      <name val="Calibri"/>
      <family val="2"/>
    </font>
    <font>
      <b/>
      <sz val="11"/>
      <color rgb="FF388600"/>
      <name val="Calibri"/>
      <family val="2"/>
    </font>
    <font>
      <sz val="11"/>
      <color rgb="FF388600"/>
      <name val="Calibri"/>
      <family val="2"/>
    </font>
    <font>
      <sz val="11"/>
      <color rgb="FFC00000"/>
      <name val="Calibri"/>
      <family val="2"/>
    </font>
    <font>
      <sz val="11"/>
      <color rgb="FFED0000"/>
      <name val="Calibri"/>
      <family val="2"/>
    </font>
    <font>
      <b/>
      <sz val="11"/>
      <color rgb="FF0000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4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2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/>
    </xf>
    <xf numFmtId="0" fontId="1" fillId="0" borderId="4" xfId="0" applyFont="1" applyBorder="1"/>
    <xf numFmtId="16" fontId="1" fillId="0" borderId="4" xfId="0" applyNumberFormat="1" applyFont="1" applyBorder="1"/>
    <xf numFmtId="0" fontId="3" fillId="0" borderId="4" xfId="0" applyFont="1" applyBorder="1"/>
    <xf numFmtId="14" fontId="1" fillId="0" borderId="4" xfId="0" applyNumberFormat="1" applyFont="1" applyBorder="1"/>
    <xf numFmtId="0" fontId="4" fillId="0" borderId="4" xfId="0" applyFont="1" applyBorder="1"/>
    <xf numFmtId="0" fontId="1" fillId="0" borderId="4" xfId="0" applyFont="1" applyBorder="1" applyAlignment="1">
      <alignment horizontal="right"/>
    </xf>
    <xf numFmtId="14" fontId="3" fillId="0" borderId="4" xfId="0" applyNumberFormat="1" applyFont="1" applyBorder="1" applyAlignment="1">
      <alignment horizontal="left"/>
    </xf>
    <xf numFmtId="0" fontId="10" fillId="0" borderId="4" xfId="0" applyFont="1" applyBorder="1"/>
    <xf numFmtId="0" fontId="11" fillId="0" borderId="15" xfId="0" applyFont="1" applyBorder="1"/>
    <xf numFmtId="0" fontId="3" fillId="0" borderId="14" xfId="0" applyFont="1" applyBorder="1"/>
    <xf numFmtId="0" fontId="1" fillId="5" borderId="1" xfId="0" applyFont="1" applyFill="1" applyBorder="1"/>
    <xf numFmtId="0" fontId="1" fillId="5" borderId="4" xfId="0" applyFont="1" applyFill="1" applyBorder="1"/>
    <xf numFmtId="164" fontId="1" fillId="5" borderId="4" xfId="0" applyNumberFormat="1" applyFont="1" applyFill="1" applyBorder="1"/>
    <xf numFmtId="0" fontId="15" fillId="0" borderId="4" xfId="0" applyFont="1" applyBorder="1"/>
    <xf numFmtId="0" fontId="14" fillId="4" borderId="4" xfId="0" applyFont="1" applyFill="1" applyBorder="1" applyAlignment="1">
      <alignment horizontal="center" vertical="center"/>
    </xf>
    <xf numFmtId="0" fontId="14" fillId="0" borderId="4" xfId="0" applyFont="1" applyBorder="1"/>
    <xf numFmtId="0" fontId="17" fillId="0" borderId="4" xfId="0" applyFont="1" applyBorder="1"/>
    <xf numFmtId="14" fontId="1" fillId="0" borderId="14" xfId="0" applyNumberFormat="1" applyFont="1" applyBorder="1"/>
    <xf numFmtId="0" fontId="15" fillId="0" borderId="15" xfId="0" applyFont="1" applyBorder="1"/>
    <xf numFmtId="0" fontId="1" fillId="0" borderId="15" xfId="0" applyFont="1" applyBorder="1"/>
    <xf numFmtId="0" fontId="11" fillId="0" borderId="4" xfId="0" applyFont="1" applyBorder="1"/>
    <xf numFmtId="0" fontId="10" fillId="0" borderId="15" xfId="0" applyFont="1" applyBorder="1"/>
    <xf numFmtId="14" fontId="15" fillId="0" borderId="4" xfId="0" applyNumberFormat="1" applyFont="1" applyBorder="1"/>
    <xf numFmtId="0" fontId="13" fillId="0" borderId="0" xfId="0" applyFont="1"/>
    <xf numFmtId="16" fontId="14" fillId="0" borderId="4" xfId="0" quotePrefix="1" applyNumberFormat="1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0" fillId="7" borderId="0" xfId="0" applyFill="1"/>
    <xf numFmtId="0" fontId="1" fillId="2" borderId="17" xfId="0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9" borderId="0" xfId="0" applyFill="1"/>
    <xf numFmtId="0" fontId="1" fillId="6" borderId="1" xfId="0" applyFont="1" applyFill="1" applyBorder="1"/>
    <xf numFmtId="0" fontId="1" fillId="0" borderId="9" xfId="0" applyFont="1" applyBorder="1"/>
    <xf numFmtId="0" fontId="14" fillId="0" borderId="14" xfId="0" applyFont="1" applyBorder="1"/>
    <xf numFmtId="0" fontId="17" fillId="0" borderId="2" xfId="0" applyFont="1" applyBorder="1"/>
    <xf numFmtId="0" fontId="18" fillId="0" borderId="19" xfId="0" applyFont="1" applyBorder="1"/>
    <xf numFmtId="0" fontId="20" fillId="0" borderId="4" xfId="0" applyFont="1" applyBorder="1"/>
    <xf numFmtId="0" fontId="20" fillId="0" borderId="2" xfId="0" applyFont="1" applyBorder="1"/>
    <xf numFmtId="0" fontId="19" fillId="0" borderId="15" xfId="0" applyFont="1" applyBorder="1"/>
    <xf numFmtId="0" fontId="19" fillId="0" borderId="19" xfId="0" applyFont="1" applyBorder="1"/>
    <xf numFmtId="0" fontId="19" fillId="0" borderId="9" xfId="0" applyFont="1" applyBorder="1"/>
    <xf numFmtId="0" fontId="19" fillId="0" borderId="4" xfId="0" applyFont="1" applyBorder="1"/>
    <xf numFmtId="0" fontId="15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14" fontId="14" fillId="4" borderId="4" xfId="0" applyNumberFormat="1" applyFont="1" applyFill="1" applyBorder="1" applyAlignment="1">
      <alignment horizontal="center" vertical="center"/>
    </xf>
    <xf numFmtId="14" fontId="14" fillId="6" borderId="4" xfId="0" applyNumberFormat="1" applyFont="1" applyFill="1" applyBorder="1" applyAlignment="1">
      <alignment horizontal="center" vertical="center"/>
    </xf>
    <xf numFmtId="14" fontId="15" fillId="7" borderId="4" xfId="0" applyNumberFormat="1" applyFont="1" applyFill="1" applyBorder="1" applyAlignment="1">
      <alignment horizontal="center"/>
    </xf>
    <xf numFmtId="0" fontId="17" fillId="0" borderId="14" xfId="0" applyFont="1" applyBorder="1"/>
    <xf numFmtId="14" fontId="15" fillId="6" borderId="4" xfId="0" applyNumberFormat="1" applyFont="1" applyFill="1" applyBorder="1" applyAlignment="1">
      <alignment horizontal="center" vertical="center"/>
    </xf>
    <xf numFmtId="14" fontId="14" fillId="0" borderId="4" xfId="0" applyNumberFormat="1" applyFont="1" applyBorder="1"/>
    <xf numFmtId="0" fontId="17" fillId="0" borderId="9" xfId="0" applyFont="1" applyBorder="1"/>
    <xf numFmtId="0" fontId="17" fillId="0" borderId="19" xfId="0" applyFont="1" applyBorder="1" applyAlignment="1">
      <alignment horizontal="right"/>
    </xf>
    <xf numFmtId="0" fontId="17" fillId="0" borderId="19" xfId="0" applyFont="1" applyBorder="1"/>
    <xf numFmtId="14" fontId="1" fillId="0" borderId="2" xfId="0" applyNumberFormat="1" applyFont="1" applyBorder="1"/>
    <xf numFmtId="0" fontId="14" fillId="0" borderId="27" xfId="0" applyFont="1" applyBorder="1"/>
    <xf numFmtId="0" fontId="17" fillId="0" borderId="28" xfId="0" applyFont="1" applyBorder="1"/>
    <xf numFmtId="0" fontId="1" fillId="0" borderId="2" xfId="0" applyFont="1" applyBorder="1"/>
    <xf numFmtId="14" fontId="1" fillId="0" borderId="19" xfId="0" applyNumberFormat="1" applyFont="1" applyBorder="1"/>
    <xf numFmtId="0" fontId="14" fillId="0" borderId="19" xfId="0" applyFont="1" applyBorder="1"/>
    <xf numFmtId="0" fontId="1" fillId="0" borderId="19" xfId="0" applyFont="1" applyBorder="1"/>
    <xf numFmtId="14" fontId="14" fillId="0" borderId="19" xfId="0" applyNumberFormat="1" applyFont="1" applyBorder="1"/>
    <xf numFmtId="17" fontId="17" fillId="0" borderId="4" xfId="0" applyNumberFormat="1" applyFont="1" applyBorder="1"/>
    <xf numFmtId="0" fontId="15" fillId="0" borderId="14" xfId="0" applyFont="1" applyBorder="1"/>
    <xf numFmtId="0" fontId="17" fillId="6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top"/>
    </xf>
    <xf numFmtId="14" fontId="15" fillId="4" borderId="4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center"/>
    </xf>
    <xf numFmtId="0" fontId="17" fillId="0" borderId="9" xfId="0" applyFont="1" applyBorder="1" applyAlignment="1">
      <alignment horizontal="right"/>
    </xf>
    <xf numFmtId="0" fontId="15" fillId="0" borderId="19" xfId="0" applyFont="1" applyBorder="1"/>
    <xf numFmtId="0" fontId="23" fillId="0" borderId="4" xfId="0" applyFont="1" applyBorder="1"/>
    <xf numFmtId="0" fontId="25" fillId="0" borderId="4" xfId="0" applyFont="1" applyBorder="1"/>
    <xf numFmtId="0" fontId="21" fillId="0" borderId="19" xfId="0" applyFont="1" applyBorder="1"/>
    <xf numFmtId="0" fontId="21" fillId="0" borderId="9" xfId="0" applyFont="1" applyBorder="1"/>
    <xf numFmtId="0" fontId="21" fillId="0" borderId="4" xfId="0" applyFont="1" applyBorder="1"/>
    <xf numFmtId="0" fontId="21" fillId="0" borderId="15" xfId="0" applyFont="1" applyBorder="1"/>
    <xf numFmtId="0" fontId="6" fillId="0" borderId="18" xfId="0" applyFont="1" applyBorder="1"/>
    <xf numFmtId="0" fontId="17" fillId="0" borderId="15" xfId="0" applyFont="1" applyBorder="1"/>
    <xf numFmtId="0" fontId="1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25" fillId="0" borderId="26" xfId="0" applyFont="1" applyBorder="1"/>
    <xf numFmtId="0" fontId="25" fillId="0" borderId="29" xfId="0" applyFont="1" applyBorder="1" applyAlignment="1">
      <alignment horizontal="right"/>
    </xf>
    <xf numFmtId="0" fontId="0" fillId="0" borderId="0" xfId="0" applyAlignment="1">
      <alignment horizontal="right"/>
    </xf>
    <xf numFmtId="0" fontId="14" fillId="0" borderId="2" xfId="0" applyFont="1" applyBorder="1"/>
    <xf numFmtId="0" fontId="14" fillId="0" borderId="15" xfId="0" applyFont="1" applyBorder="1"/>
    <xf numFmtId="0" fontId="16" fillId="0" borderId="2" xfId="0" applyFont="1" applyBorder="1" applyAlignment="1">
      <alignment horizontal="center" vertical="center"/>
    </xf>
    <xf numFmtId="0" fontId="15" fillId="0" borderId="9" xfId="0" applyFont="1" applyBorder="1"/>
    <xf numFmtId="0" fontId="14" fillId="0" borderId="19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8" xfId="0" applyFont="1" applyBorder="1"/>
    <xf numFmtId="0" fontId="2" fillId="0" borderId="18" xfId="0" applyFont="1" applyBorder="1"/>
    <xf numFmtId="0" fontId="20" fillId="0" borderId="15" xfId="0" applyFont="1" applyBorder="1"/>
    <xf numFmtId="0" fontId="20" fillId="0" borderId="30" xfId="0" applyFont="1" applyBorder="1"/>
    <xf numFmtId="0" fontId="19" fillId="0" borderId="26" xfId="0" applyFont="1" applyBorder="1"/>
    <xf numFmtId="0" fontId="14" fillId="0" borderId="19" xfId="0" applyFont="1" applyBorder="1" applyAlignment="1">
      <alignment horizontal="right"/>
    </xf>
    <xf numFmtId="0" fontId="14" fillId="0" borderId="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 vertical="center"/>
    </xf>
    <xf numFmtId="0" fontId="20" fillId="0" borderId="19" xfId="0" applyFont="1" applyBorder="1"/>
    <xf numFmtId="0" fontId="15" fillId="0" borderId="14" xfId="0" quotePrefix="1" applyFont="1" applyBorder="1" applyAlignment="1">
      <alignment horizontal="center" vertical="center"/>
    </xf>
    <xf numFmtId="0" fontId="24" fillId="0" borderId="14" xfId="0" applyFont="1" applyBorder="1"/>
    <xf numFmtId="0" fontId="25" fillId="0" borderId="14" xfId="0" applyFont="1" applyBorder="1"/>
    <xf numFmtId="14" fontId="17" fillId="0" borderId="4" xfId="0" applyNumberFormat="1" applyFont="1" applyBorder="1"/>
    <xf numFmtId="14" fontId="25" fillId="0" borderId="4" xfId="0" applyNumberFormat="1" applyFont="1" applyBorder="1"/>
    <xf numFmtId="0" fontId="25" fillId="0" borderId="19" xfId="0" applyFont="1" applyBorder="1"/>
    <xf numFmtId="0" fontId="25" fillId="0" borderId="4" xfId="0" applyFont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7" xfId="0" applyFill="1" applyBorder="1" applyAlignment="1">
      <alignment horizontal="center" wrapText="1"/>
    </xf>
    <xf numFmtId="0" fontId="2" fillId="0" borderId="14" xfId="0" applyFont="1" applyBorder="1"/>
    <xf numFmtId="0" fontId="6" fillId="0" borderId="15" xfId="0" applyFont="1" applyBorder="1"/>
    <xf numFmtId="0" fontId="8" fillId="0" borderId="14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7" fillId="0" borderId="14" xfId="0" applyFont="1" applyBorder="1"/>
    <xf numFmtId="0" fontId="5" fillId="0" borderId="14" xfId="0" applyFont="1" applyBorder="1"/>
    <xf numFmtId="0" fontId="9" fillId="0" borderId="14" xfId="0" applyFont="1" applyBorder="1"/>
    <xf numFmtId="0" fontId="12" fillId="0" borderId="14" xfId="0" applyFont="1" applyBorder="1"/>
    <xf numFmtId="0" fontId="1" fillId="0" borderId="14" xfId="0" applyFont="1" applyBorder="1"/>
    <xf numFmtId="0" fontId="18" fillId="0" borderId="0" xfId="0" applyFont="1" applyAlignment="1">
      <alignment horizontal="center" vertical="center"/>
    </xf>
    <xf numFmtId="0" fontId="16" fillId="0" borderId="14" xfId="0" applyFont="1" applyBorder="1"/>
    <xf numFmtId="0" fontId="26" fillId="0" borderId="14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2" fillId="0" borderId="15" xfId="0" applyFont="1" applyBorder="1"/>
    <xf numFmtId="0" fontId="16" fillId="0" borderId="15" xfId="0" applyFont="1" applyBorder="1"/>
    <xf numFmtId="0" fontId="2" fillId="5" borderId="16" xfId="0" applyFont="1" applyFill="1" applyBorder="1" applyAlignment="1">
      <alignment horizontal="center"/>
    </xf>
    <xf numFmtId="0" fontId="6" fillId="0" borderId="17" xfId="0" applyFont="1" applyBorder="1"/>
    <xf numFmtId="0" fontId="25" fillId="0" borderId="15" xfId="0" applyFont="1" applyBorder="1"/>
    <xf numFmtId="6" fontId="1" fillId="4" borderId="4" xfId="0" applyNumberFormat="1" applyFont="1" applyFill="1" applyBorder="1" applyAlignment="1">
      <alignment horizontal="center" vertical="center"/>
    </xf>
    <xf numFmtId="14" fontId="25" fillId="4" borderId="4" xfId="0" applyNumberFormat="1" applyFont="1" applyFill="1" applyBorder="1" applyAlignment="1">
      <alignment horizontal="center" vertical="center"/>
    </xf>
    <xf numFmtId="14" fontId="25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theme="1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Saldo!$A$2:$A$9</c:f>
              <c:strCache>
                <c:ptCount val="5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</c:strCache>
            </c:strRef>
          </c:cat>
          <c:val>
            <c:numRef>
              <c:f>Saldo!$B$2:$B$9</c:f>
              <c:numCache>
                <c:formatCode>_-"R$"\ * #,##0.00_-;\-"R$"\ * #,##0.00_-;_-"R$"\ * "-"??_-;_-@</c:formatCode>
                <c:ptCount val="8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E2-4A10-945C-918A62F3A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046487"/>
        <c:axId val="375200377"/>
      </c:barChart>
      <c:catAx>
        <c:axId val="471046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75200377"/>
        <c:crosses val="autoZero"/>
        <c:auto val="1"/>
        <c:lblAlgn val="ctr"/>
        <c:lblOffset val="100"/>
        <c:noMultiLvlLbl val="1"/>
      </c:catAx>
      <c:valAx>
        <c:axId val="375200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710464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1</xdr:row>
      <xdr:rowOff>0</xdr:rowOff>
    </xdr:from>
    <xdr:ext cx="9458325" cy="4333875"/>
    <xdr:graphicFrame macro="">
      <xdr:nvGraphicFramePr>
        <xdr:cNvPr id="1156052183" name="Chart 1" title="Gráfico">
          <a:extLst>
            <a:ext uri="{FF2B5EF4-FFF2-40B4-BE49-F238E27FC236}">
              <a16:creationId xmlns:a16="http://schemas.microsoft.com/office/drawing/2014/main" id="{00000000-0008-0000-0500-0000D7F4E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6"/>
  <sheetViews>
    <sheetView workbookViewId="0">
      <selection sqref="A1:D1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46" t="s">
        <v>80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ht="14.25" customHeight="1">
      <c r="A3" s="16">
        <v>45698</v>
      </c>
      <c r="B3" s="17" t="s">
        <v>53</v>
      </c>
      <c r="C3" s="17">
        <v>280</v>
      </c>
      <c r="D3" s="17">
        <f>C3</f>
        <v>280</v>
      </c>
    </row>
    <row r="4" spans="1:4" ht="14.25" customHeight="1">
      <c r="A4" s="16">
        <v>45694</v>
      </c>
      <c r="B4" s="17" t="s">
        <v>54</v>
      </c>
      <c r="C4" s="17">
        <v>280</v>
      </c>
      <c r="D4" s="17">
        <f>D3+C4</f>
        <v>560</v>
      </c>
    </row>
    <row r="5" spans="1:4" ht="14.25" customHeight="1">
      <c r="A5" s="16">
        <v>45700</v>
      </c>
      <c r="B5" s="17" t="s">
        <v>55</v>
      </c>
      <c r="C5" s="17">
        <v>280</v>
      </c>
      <c r="D5" s="17">
        <f t="shared" ref="D5:D9" si="0">C5+D4</f>
        <v>840</v>
      </c>
    </row>
    <row r="6" spans="1:4" ht="14.25" customHeight="1">
      <c r="A6" s="16">
        <v>45712</v>
      </c>
      <c r="B6" s="17" t="s">
        <v>56</v>
      </c>
      <c r="C6" s="17">
        <v>280</v>
      </c>
      <c r="D6" s="17">
        <f t="shared" si="0"/>
        <v>1120</v>
      </c>
    </row>
    <row r="7" spans="1:4" ht="14.25" customHeight="1">
      <c r="A7" s="16">
        <v>45712</v>
      </c>
      <c r="B7" s="17" t="s">
        <v>57</v>
      </c>
      <c r="C7" s="17">
        <v>280</v>
      </c>
      <c r="D7" s="17">
        <f t="shared" si="0"/>
        <v>1400</v>
      </c>
    </row>
    <row r="8" spans="1:4" ht="14.25" customHeight="1">
      <c r="A8" s="16">
        <v>45715</v>
      </c>
      <c r="B8" s="17" t="s">
        <v>58</v>
      </c>
      <c r="C8" s="17">
        <v>280</v>
      </c>
      <c r="D8" s="17">
        <f t="shared" si="0"/>
        <v>1680</v>
      </c>
    </row>
    <row r="9" spans="1:4" ht="14.25" customHeight="1">
      <c r="A9" s="16">
        <v>45715</v>
      </c>
      <c r="B9" s="17" t="s">
        <v>59</v>
      </c>
      <c r="C9" s="17">
        <v>280</v>
      </c>
      <c r="D9" s="17">
        <f t="shared" si="0"/>
        <v>1960</v>
      </c>
    </row>
    <row r="10" spans="1:4" ht="14.25" customHeight="1">
      <c r="A10" s="18">
        <v>45700</v>
      </c>
      <c r="B10" s="17" t="s">
        <v>60</v>
      </c>
      <c r="C10" s="19">
        <v>-15</v>
      </c>
      <c r="D10" s="17">
        <f>D9+C10</f>
        <v>1945</v>
      </c>
    </row>
    <row r="11" spans="1:4" ht="14.25" customHeight="1">
      <c r="A11" s="18">
        <v>45699</v>
      </c>
      <c r="B11" s="17" t="s">
        <v>61</v>
      </c>
      <c r="C11" s="19">
        <v>-100</v>
      </c>
      <c r="D11" s="17">
        <f>C11+D10</f>
        <v>1845</v>
      </c>
    </row>
    <row r="12" spans="1:4" ht="14.25" customHeight="1">
      <c r="A12" s="17"/>
      <c r="B12" s="17"/>
      <c r="C12" s="17"/>
      <c r="D12" s="17"/>
    </row>
    <row r="13" spans="1:4" ht="14.25" customHeight="1">
      <c r="A13" s="143" t="s">
        <v>81</v>
      </c>
      <c r="B13" s="144"/>
      <c r="C13" s="148">
        <v>1960</v>
      </c>
      <c r="D13" s="144"/>
    </row>
    <row r="14" spans="1:4" ht="14.25" customHeight="1">
      <c r="A14" s="143" t="s">
        <v>82</v>
      </c>
      <c r="B14" s="144"/>
      <c r="C14" s="149">
        <v>-115</v>
      </c>
      <c r="D14" s="144"/>
    </row>
    <row r="15" spans="1:4" ht="14.25" customHeight="1">
      <c r="A15" s="143" t="s">
        <v>83</v>
      </c>
      <c r="B15" s="144"/>
      <c r="C15" s="145">
        <v>1845</v>
      </c>
      <c r="D15" s="144"/>
    </row>
    <row r="16" spans="1:4" ht="14.25" customHeight="1">
      <c r="A16" s="143" t="s">
        <v>84</v>
      </c>
      <c r="B16" s="144"/>
      <c r="C16" s="150">
        <v>922.5</v>
      </c>
      <c r="D16" s="144"/>
    </row>
    <row r="17" spans="1:4" ht="14.25" customHeight="1">
      <c r="A17" s="143" t="s">
        <v>85</v>
      </c>
      <c r="B17" s="144"/>
      <c r="C17" s="150">
        <v>461.25</v>
      </c>
      <c r="D17" s="144"/>
    </row>
    <row r="18" spans="1:4" ht="14.25" customHeight="1">
      <c r="A18" s="143" t="s">
        <v>86</v>
      </c>
      <c r="B18" s="144"/>
      <c r="C18" s="150">
        <v>461.25</v>
      </c>
      <c r="D18" s="144"/>
    </row>
    <row r="19" spans="1:4" ht="14.25" customHeight="1"/>
    <row r="20" spans="1:4" ht="14.25" customHeight="1"/>
    <row r="21" spans="1:4" ht="14.25" customHeight="1"/>
    <row r="22" spans="1:4" ht="14.25" customHeight="1"/>
    <row r="23" spans="1:4" ht="14.25" customHeight="1"/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</sheetData>
  <autoFilter ref="A2:D13" xr:uid="{00000000-0009-0000-0000-000002000000}">
    <sortState xmlns:xlrd2="http://schemas.microsoft.com/office/spreadsheetml/2017/richdata2" ref="A2:D13">
      <sortCondition ref="A2:A13"/>
    </sortState>
  </autoFilter>
  <mergeCells count="13">
    <mergeCell ref="A16:B16"/>
    <mergeCell ref="C16:D16"/>
    <mergeCell ref="A17:B17"/>
    <mergeCell ref="C17:D17"/>
    <mergeCell ref="A18:B18"/>
    <mergeCell ref="C18:D18"/>
    <mergeCell ref="A15:B15"/>
    <mergeCell ref="C15:D15"/>
    <mergeCell ref="A1:D1"/>
    <mergeCell ref="A13:B13"/>
    <mergeCell ref="C13:D13"/>
    <mergeCell ref="A14:B14"/>
    <mergeCell ref="C14:D14"/>
  </mergeCells>
  <conditionalFormatting sqref="D2">
    <cfRule type="cellIs" dxfId="41" priority="1" operator="equal">
      <formula>$D$3</formula>
    </cfRule>
  </conditionalFormatting>
  <conditionalFormatting sqref="D2:D12 D19:D926">
    <cfRule type="cellIs" dxfId="40" priority="2" operator="lessThan">
      <formula>0</formula>
    </cfRule>
    <cfRule type="cellIs" dxfId="39" priority="3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30"/>
  <sheetViews>
    <sheetView workbookViewId="0">
      <selection activeCell="A24" sqref="A24:B24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46" t="s">
        <v>87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ht="14.25" customHeight="1">
      <c r="A3" s="23">
        <v>45717</v>
      </c>
      <c r="B3" s="19" t="s">
        <v>88</v>
      </c>
      <c r="C3" s="19">
        <v>1845</v>
      </c>
      <c r="D3" s="19">
        <f>C3</f>
        <v>1845</v>
      </c>
    </row>
    <row r="4" spans="1:4" ht="14.25" customHeight="1">
      <c r="A4" s="16">
        <v>45726</v>
      </c>
      <c r="B4" s="17" t="s">
        <v>62</v>
      </c>
      <c r="C4" s="17">
        <v>280</v>
      </c>
      <c r="D4" s="24">
        <f>D3+C4</f>
        <v>2125</v>
      </c>
    </row>
    <row r="5" spans="1:4" ht="14.25" customHeight="1">
      <c r="A5" s="16">
        <v>45727</v>
      </c>
      <c r="B5" s="17" t="s">
        <v>63</v>
      </c>
      <c r="C5" s="17">
        <v>280</v>
      </c>
      <c r="D5" s="24">
        <f t="shared" ref="D5:D9" si="0">C5+D4</f>
        <v>2405</v>
      </c>
    </row>
    <row r="6" spans="1:4" ht="14.25" customHeight="1">
      <c r="A6" s="20">
        <v>45733</v>
      </c>
      <c r="B6" s="17" t="s">
        <v>64</v>
      </c>
      <c r="C6" s="21">
        <v>280</v>
      </c>
      <c r="D6" s="24">
        <f t="shared" si="0"/>
        <v>2685</v>
      </c>
    </row>
    <row r="7" spans="1:4" ht="14.25" customHeight="1">
      <c r="A7" s="20">
        <v>45734</v>
      </c>
      <c r="B7" s="17" t="s">
        <v>65</v>
      </c>
      <c r="C7" s="17">
        <v>210</v>
      </c>
      <c r="D7" s="24">
        <f t="shared" si="0"/>
        <v>2895</v>
      </c>
    </row>
    <row r="8" spans="1:4" ht="14.25" customHeight="1">
      <c r="A8" s="20">
        <v>45734</v>
      </c>
      <c r="B8" s="17" t="s">
        <v>66</v>
      </c>
      <c r="C8" s="17">
        <v>280</v>
      </c>
      <c r="D8" s="24">
        <f t="shared" si="0"/>
        <v>3175</v>
      </c>
    </row>
    <row r="9" spans="1:4" ht="14.25" customHeight="1">
      <c r="A9" s="20">
        <v>45735</v>
      </c>
      <c r="B9" s="17" t="s">
        <v>67</v>
      </c>
      <c r="C9" s="17">
        <v>280</v>
      </c>
      <c r="D9" s="24">
        <f t="shared" si="0"/>
        <v>3455</v>
      </c>
    </row>
    <row r="10" spans="1:4" ht="14.25" customHeight="1">
      <c r="A10" s="20">
        <v>45728</v>
      </c>
      <c r="B10" s="17" t="s">
        <v>68</v>
      </c>
      <c r="C10" s="17">
        <v>200</v>
      </c>
      <c r="D10" s="24">
        <f>D9+C10</f>
        <v>3655</v>
      </c>
    </row>
    <row r="11" spans="1:4" ht="14.25" customHeight="1">
      <c r="A11" s="20">
        <v>45742</v>
      </c>
      <c r="B11" s="17" t="s">
        <v>69</v>
      </c>
      <c r="C11" s="17">
        <v>200</v>
      </c>
      <c r="D11" s="24">
        <f t="shared" ref="D11:D16" si="1">C11+D10</f>
        <v>3855</v>
      </c>
    </row>
    <row r="12" spans="1:4" ht="14.25" customHeight="1">
      <c r="A12" s="20">
        <v>45741</v>
      </c>
      <c r="B12" s="17" t="s">
        <v>70</v>
      </c>
      <c r="C12" s="17">
        <v>200</v>
      </c>
      <c r="D12" s="24">
        <f t="shared" si="1"/>
        <v>4055</v>
      </c>
    </row>
    <row r="13" spans="1:4" ht="14.25" customHeight="1">
      <c r="A13" s="20">
        <v>45746</v>
      </c>
      <c r="B13" s="17" t="s">
        <v>71</v>
      </c>
      <c r="C13" s="17">
        <v>200</v>
      </c>
      <c r="D13" s="25">
        <f t="shared" si="1"/>
        <v>4255</v>
      </c>
    </row>
    <row r="14" spans="1:4" ht="14.25" customHeight="1">
      <c r="A14" s="20">
        <v>45746</v>
      </c>
      <c r="B14" s="17" t="s">
        <v>72</v>
      </c>
      <c r="C14" s="17">
        <v>200</v>
      </c>
      <c r="D14" s="25">
        <f t="shared" si="1"/>
        <v>4455</v>
      </c>
    </row>
    <row r="15" spans="1:4" ht="14.25" customHeight="1">
      <c r="A15" s="20">
        <v>45746</v>
      </c>
      <c r="B15" s="17" t="s">
        <v>73</v>
      </c>
      <c r="C15" s="17">
        <v>200</v>
      </c>
      <c r="D15" s="25">
        <f t="shared" si="1"/>
        <v>4655</v>
      </c>
    </row>
    <row r="16" spans="1:4" ht="14.25" customHeight="1">
      <c r="A16" s="20">
        <v>45746</v>
      </c>
      <c r="B16" s="17" t="s">
        <v>74</v>
      </c>
      <c r="C16" s="17">
        <v>200</v>
      </c>
      <c r="D16" s="25">
        <f t="shared" si="1"/>
        <v>4855</v>
      </c>
    </row>
    <row r="17" spans="1:4" ht="14.25" customHeight="1">
      <c r="A17" s="20">
        <v>45750</v>
      </c>
      <c r="B17" s="17" t="s">
        <v>75</v>
      </c>
      <c r="C17" s="19">
        <v>-600</v>
      </c>
      <c r="D17" s="17">
        <f t="shared" ref="D17:D20" si="2">D16+C17</f>
        <v>4255</v>
      </c>
    </row>
    <row r="18" spans="1:4" ht="14.25" customHeight="1">
      <c r="A18" s="20">
        <v>45750</v>
      </c>
      <c r="B18" s="17" t="s">
        <v>76</v>
      </c>
      <c r="C18" s="19">
        <v>-200</v>
      </c>
      <c r="D18" s="17">
        <f t="shared" si="2"/>
        <v>4055</v>
      </c>
    </row>
    <row r="19" spans="1:4" ht="14.25" customHeight="1">
      <c r="A19" s="20">
        <v>45750</v>
      </c>
      <c r="B19" s="17" t="s">
        <v>77</v>
      </c>
      <c r="C19" s="19">
        <v>-45</v>
      </c>
      <c r="D19" s="17">
        <f t="shared" si="2"/>
        <v>4010</v>
      </c>
    </row>
    <row r="20" spans="1:4" ht="14.25" customHeight="1">
      <c r="A20" s="20">
        <v>45750</v>
      </c>
      <c r="B20" s="17" t="s">
        <v>78</v>
      </c>
      <c r="C20" s="19">
        <v>-50</v>
      </c>
      <c r="D20" s="17">
        <f t="shared" si="2"/>
        <v>3960</v>
      </c>
    </row>
    <row r="21" spans="1:4" ht="14.25" customHeight="1">
      <c r="A21" s="20"/>
      <c r="B21" s="17"/>
      <c r="C21" s="26"/>
      <c r="D21" s="17"/>
    </row>
    <row r="22" spans="1:4" ht="14.25" customHeight="1">
      <c r="A22" s="143" t="s">
        <v>89</v>
      </c>
      <c r="B22" s="144"/>
      <c r="C22" s="152">
        <v>3010</v>
      </c>
      <c r="D22" s="144"/>
    </row>
    <row r="23" spans="1:4" ht="14.25" customHeight="1">
      <c r="A23" s="143" t="s">
        <v>82</v>
      </c>
      <c r="B23" s="144"/>
      <c r="C23" s="149">
        <v>-895</v>
      </c>
      <c r="D23" s="144"/>
    </row>
    <row r="24" spans="1:4" ht="14.25" customHeight="1">
      <c r="A24" s="143" t="s">
        <v>83</v>
      </c>
      <c r="B24" s="144"/>
      <c r="C24" s="151">
        <v>2115</v>
      </c>
      <c r="D24" s="144"/>
    </row>
    <row r="25" spans="1:4" ht="14.25" customHeight="1">
      <c r="A25" s="143" t="s">
        <v>84</v>
      </c>
      <c r="B25" s="144"/>
      <c r="C25" s="150">
        <v>1057.5</v>
      </c>
      <c r="D25" s="144"/>
    </row>
    <row r="26" spans="1:4" ht="14.25" customHeight="1">
      <c r="A26" s="143" t="s">
        <v>85</v>
      </c>
      <c r="B26" s="144"/>
      <c r="C26" s="150">
        <v>528.75</v>
      </c>
      <c r="D26" s="144"/>
    </row>
    <row r="27" spans="1:4" ht="14.25" customHeight="1">
      <c r="A27" s="143" t="s">
        <v>86</v>
      </c>
      <c r="B27" s="144"/>
      <c r="C27" s="150">
        <v>528.75</v>
      </c>
      <c r="D27" s="144"/>
    </row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</sheetData>
  <autoFilter ref="A2:D13" xr:uid="{00000000-0009-0000-0000-000003000000}">
    <sortState xmlns:xlrd2="http://schemas.microsoft.com/office/spreadsheetml/2017/richdata2" ref="A2:D13">
      <sortCondition ref="A2:A13"/>
    </sortState>
  </autoFilter>
  <mergeCells count="13">
    <mergeCell ref="A25:B25"/>
    <mergeCell ref="C25:D25"/>
    <mergeCell ref="A26:B26"/>
    <mergeCell ref="C26:D26"/>
    <mergeCell ref="A27:B27"/>
    <mergeCell ref="C27:D27"/>
    <mergeCell ref="A24:B24"/>
    <mergeCell ref="C24:D24"/>
    <mergeCell ref="A1:D1"/>
    <mergeCell ref="A22:B22"/>
    <mergeCell ref="C22:D22"/>
    <mergeCell ref="A23:B23"/>
    <mergeCell ref="C23:D23"/>
  </mergeCells>
  <conditionalFormatting sqref="D2">
    <cfRule type="cellIs" dxfId="38" priority="1" operator="equal">
      <formula>$D$3</formula>
    </cfRule>
  </conditionalFormatting>
  <conditionalFormatting sqref="D2:D12 D17:D21 D28:D930">
    <cfRule type="cellIs" dxfId="37" priority="2" operator="lessThan">
      <formula>0</formula>
    </cfRule>
    <cfRule type="cellIs" dxfId="36" priority="3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27"/>
  <sheetViews>
    <sheetView workbookViewId="0">
      <selection activeCell="B18" sqref="B18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3" t="s">
        <v>101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ht="14.25" customHeight="1">
      <c r="A3" s="20">
        <v>45751</v>
      </c>
      <c r="B3" s="17" t="s">
        <v>68</v>
      </c>
      <c r="C3" s="17">
        <v>200</v>
      </c>
      <c r="D3" s="24">
        <f>C3</f>
        <v>200</v>
      </c>
    </row>
    <row r="4" spans="1:4" ht="14.25" customHeight="1">
      <c r="A4" s="20">
        <v>45751</v>
      </c>
      <c r="B4" s="17" t="s">
        <v>74</v>
      </c>
      <c r="C4" s="17">
        <v>200</v>
      </c>
      <c r="D4" s="24">
        <f t="shared" ref="D4:D14" si="0">C4+D3</f>
        <v>400</v>
      </c>
    </row>
    <row r="5" spans="1:4" ht="14.25" customHeight="1">
      <c r="A5" s="18">
        <v>45754</v>
      </c>
      <c r="B5" s="17" t="s">
        <v>79</v>
      </c>
      <c r="C5" s="22">
        <v>200</v>
      </c>
      <c r="D5" s="24">
        <f t="shared" si="0"/>
        <v>600</v>
      </c>
    </row>
    <row r="6" spans="1:4" ht="14.25" customHeight="1">
      <c r="A6" s="20">
        <v>45761</v>
      </c>
      <c r="B6" s="17" t="s">
        <v>69</v>
      </c>
      <c r="C6" s="17">
        <v>200</v>
      </c>
      <c r="D6" s="24">
        <f t="shared" si="0"/>
        <v>800</v>
      </c>
    </row>
    <row r="7" spans="1:4" ht="14.25" customHeight="1">
      <c r="A7" s="20">
        <v>45761</v>
      </c>
      <c r="B7" s="17" t="s">
        <v>90</v>
      </c>
      <c r="C7" s="17">
        <v>480</v>
      </c>
      <c r="D7" s="24">
        <f t="shared" si="0"/>
        <v>1280</v>
      </c>
    </row>
    <row r="8" spans="1:4" ht="14.25" customHeight="1">
      <c r="A8" s="20">
        <v>45761</v>
      </c>
      <c r="B8" s="32" t="s">
        <v>100</v>
      </c>
      <c r="C8" s="33">
        <v>200</v>
      </c>
      <c r="D8" s="17">
        <f t="shared" si="0"/>
        <v>1480</v>
      </c>
    </row>
    <row r="9" spans="1:4" ht="14.25" customHeight="1">
      <c r="A9" s="20">
        <v>45762</v>
      </c>
      <c r="B9" s="32" t="s">
        <v>72</v>
      </c>
      <c r="C9" s="17">
        <v>200</v>
      </c>
      <c r="D9" s="37">
        <f t="shared" si="0"/>
        <v>1680</v>
      </c>
    </row>
    <row r="10" spans="1:4" ht="14.25" customHeight="1">
      <c r="A10" s="20">
        <v>45762</v>
      </c>
      <c r="B10" s="32" t="s">
        <v>99</v>
      </c>
      <c r="C10" s="17">
        <v>200</v>
      </c>
      <c r="D10" s="25">
        <f t="shared" si="0"/>
        <v>1880</v>
      </c>
    </row>
    <row r="11" spans="1:4" ht="14.25" customHeight="1">
      <c r="A11" s="20">
        <v>45763</v>
      </c>
      <c r="B11" s="32" t="s">
        <v>70</v>
      </c>
      <c r="C11" s="17">
        <v>200</v>
      </c>
      <c r="D11" s="25">
        <f t="shared" si="0"/>
        <v>2080</v>
      </c>
    </row>
    <row r="12" spans="1:4" ht="14.25" customHeight="1">
      <c r="A12" s="20">
        <v>45769</v>
      </c>
      <c r="B12" s="32" t="s">
        <v>98</v>
      </c>
      <c r="C12" s="17">
        <v>200</v>
      </c>
      <c r="D12" s="25">
        <f t="shared" si="0"/>
        <v>2280</v>
      </c>
    </row>
    <row r="13" spans="1:4" ht="14.25" customHeight="1">
      <c r="A13" s="20">
        <v>45772</v>
      </c>
      <c r="B13" s="17" t="s">
        <v>97</v>
      </c>
      <c r="C13" s="30">
        <v>-600</v>
      </c>
      <c r="D13" s="38">
        <f t="shared" si="0"/>
        <v>1680</v>
      </c>
    </row>
    <row r="14" spans="1:4" ht="14.25" customHeight="1">
      <c r="A14" s="20">
        <v>45772</v>
      </c>
      <c r="B14" s="17" t="s">
        <v>77</v>
      </c>
      <c r="C14" s="30">
        <v>-45</v>
      </c>
      <c r="D14" s="24">
        <f t="shared" si="0"/>
        <v>1635</v>
      </c>
    </row>
    <row r="15" spans="1:4" ht="14.25" customHeight="1">
      <c r="A15" s="20"/>
      <c r="B15" s="30"/>
      <c r="C15" s="19"/>
      <c r="D15" s="17">
        <f>D14+C15</f>
        <v>1635</v>
      </c>
    </row>
    <row r="16" spans="1:4" ht="14.25" customHeight="1">
      <c r="A16" s="20"/>
      <c r="B16" s="30"/>
      <c r="C16" s="19"/>
      <c r="D16" s="17">
        <f>C16+D15</f>
        <v>1635</v>
      </c>
    </row>
    <row r="17" spans="1:4" ht="14.25" customHeight="1">
      <c r="A17" s="34"/>
      <c r="B17" s="35"/>
      <c r="C17" s="26"/>
      <c r="D17" s="36"/>
    </row>
    <row r="18" spans="1:4" ht="14.25" customHeight="1">
      <c r="A18" s="34"/>
      <c r="B18" s="35"/>
      <c r="C18" s="26"/>
      <c r="D18" s="36"/>
    </row>
    <row r="19" spans="1:4" ht="14.25" customHeight="1">
      <c r="A19" s="143" t="s">
        <v>91</v>
      </c>
      <c r="B19" s="144"/>
      <c r="C19" s="152">
        <v>2280</v>
      </c>
      <c r="D19" s="144"/>
    </row>
    <row r="20" spans="1:4" ht="14.25" customHeight="1">
      <c r="A20" s="143" t="s">
        <v>82</v>
      </c>
      <c r="B20" s="144"/>
      <c r="C20" s="149">
        <v>645</v>
      </c>
      <c r="D20" s="144"/>
    </row>
    <row r="21" spans="1:4" ht="14.25" customHeight="1">
      <c r="A21" s="143" t="s">
        <v>83</v>
      </c>
      <c r="B21" s="144"/>
      <c r="C21" s="151">
        <v>1635</v>
      </c>
      <c r="D21" s="144"/>
    </row>
    <row r="22" spans="1:4" ht="14.25" customHeight="1">
      <c r="A22" s="143" t="s">
        <v>84</v>
      </c>
      <c r="B22" s="144"/>
      <c r="C22" s="150">
        <v>817.5</v>
      </c>
      <c r="D22" s="144"/>
    </row>
    <row r="23" spans="1:4" ht="14.25" customHeight="1">
      <c r="A23" s="154" t="s">
        <v>85</v>
      </c>
      <c r="B23" s="144"/>
      <c r="C23" s="150">
        <v>408.75</v>
      </c>
      <c r="D23" s="144"/>
    </row>
    <row r="24" spans="1:4" ht="14.25" customHeight="1">
      <c r="A24" s="143" t="s">
        <v>86</v>
      </c>
      <c r="B24" s="144"/>
      <c r="C24" s="150">
        <v>408.75</v>
      </c>
      <c r="D24" s="144"/>
    </row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autoFilter ref="A2:D10" xr:uid="{00000000-0009-0000-0000-000004000000}">
    <sortState xmlns:xlrd2="http://schemas.microsoft.com/office/spreadsheetml/2017/richdata2" ref="A2:D10">
      <sortCondition ref="A2:A10"/>
    </sortState>
  </autoFilter>
  <sortState xmlns:xlrd2="http://schemas.microsoft.com/office/spreadsheetml/2017/richdata2" ref="A3:D16">
    <sortCondition ref="A3:A16"/>
  </sortState>
  <mergeCells count="13">
    <mergeCell ref="A22:B22"/>
    <mergeCell ref="C22:D22"/>
    <mergeCell ref="A23:B23"/>
    <mergeCell ref="C23:D23"/>
    <mergeCell ref="A24:B24"/>
    <mergeCell ref="C24:D24"/>
    <mergeCell ref="A21:B21"/>
    <mergeCell ref="C21:D21"/>
    <mergeCell ref="A1:D1"/>
    <mergeCell ref="A19:B19"/>
    <mergeCell ref="C19:D19"/>
    <mergeCell ref="A20:B20"/>
    <mergeCell ref="C20:D20"/>
  </mergeCells>
  <conditionalFormatting sqref="D2">
    <cfRule type="cellIs" dxfId="35" priority="4" operator="equal">
      <formula>#REF!</formula>
    </cfRule>
  </conditionalFormatting>
  <conditionalFormatting sqref="D2:D9 D14:D18 D25:D927">
    <cfRule type="cellIs" dxfId="34" priority="2" operator="lessThan">
      <formula>0</formula>
    </cfRule>
    <cfRule type="cellIs" dxfId="33" priority="3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E1A0-1AFE-4E0E-8978-2208EDBD32D2}">
  <dimension ref="A1:D928"/>
  <sheetViews>
    <sheetView workbookViewId="0">
      <selection activeCell="D18" sqref="D18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3" t="s">
        <v>103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s="40" customFormat="1" ht="14.25" customHeight="1">
      <c r="A3" s="39">
        <v>45778</v>
      </c>
      <c r="B3" s="30" t="s">
        <v>104</v>
      </c>
      <c r="C3" s="30">
        <v>1635</v>
      </c>
      <c r="D3" s="30">
        <f>C3</f>
        <v>1635</v>
      </c>
    </row>
    <row r="4" spans="1:4" ht="14.25" customHeight="1">
      <c r="A4" s="20">
        <v>45786</v>
      </c>
      <c r="B4" s="32" t="s">
        <v>79</v>
      </c>
      <c r="C4" s="17">
        <v>200</v>
      </c>
      <c r="D4" s="24">
        <f t="shared" ref="D4:D7" si="0">C4+D3</f>
        <v>1835</v>
      </c>
    </row>
    <row r="5" spans="1:4" ht="14.25" customHeight="1">
      <c r="A5" s="41" t="s">
        <v>108</v>
      </c>
      <c r="B5" s="32" t="s">
        <v>68</v>
      </c>
      <c r="C5" s="22">
        <v>200</v>
      </c>
      <c r="D5" s="24">
        <f t="shared" si="0"/>
        <v>2035</v>
      </c>
    </row>
    <row r="6" spans="1:4" ht="14.25" customHeight="1">
      <c r="A6" s="20">
        <v>45791</v>
      </c>
      <c r="B6" s="32" t="s">
        <v>70</v>
      </c>
      <c r="C6" s="33">
        <v>200</v>
      </c>
      <c r="D6" s="24">
        <f t="shared" si="0"/>
        <v>2235</v>
      </c>
    </row>
    <row r="7" spans="1:4" ht="14.25" customHeight="1">
      <c r="A7" s="20">
        <v>45792</v>
      </c>
      <c r="B7" s="32" t="s">
        <v>72</v>
      </c>
      <c r="C7" s="17">
        <v>200</v>
      </c>
      <c r="D7" s="24">
        <f t="shared" si="0"/>
        <v>2435</v>
      </c>
    </row>
    <row r="8" spans="1:4" ht="14.25" customHeight="1">
      <c r="A8" s="20">
        <v>45792</v>
      </c>
      <c r="B8" s="32" t="s">
        <v>99</v>
      </c>
      <c r="C8" s="17">
        <v>200</v>
      </c>
      <c r="D8" s="24">
        <f>D7+C8</f>
        <v>2635</v>
      </c>
    </row>
    <row r="9" spans="1:4" ht="14.25" customHeight="1">
      <c r="A9" s="20">
        <v>45792</v>
      </c>
      <c r="B9" s="32" t="s">
        <v>69</v>
      </c>
      <c r="C9" s="17">
        <v>200</v>
      </c>
      <c r="D9" s="24">
        <f>C9+D8</f>
        <v>2835</v>
      </c>
    </row>
    <row r="10" spans="1:4" ht="14.25" customHeight="1">
      <c r="A10" s="20">
        <v>45796</v>
      </c>
      <c r="B10" s="32" t="s">
        <v>100</v>
      </c>
      <c r="C10" s="17">
        <v>200</v>
      </c>
      <c r="D10" s="24">
        <f>C10+D9</f>
        <v>3035</v>
      </c>
    </row>
    <row r="11" spans="1:4" ht="14.25" customHeight="1">
      <c r="A11" s="20">
        <v>45808</v>
      </c>
      <c r="B11" s="30" t="s">
        <v>106</v>
      </c>
      <c r="C11" s="17">
        <v>200</v>
      </c>
      <c r="D11" s="24">
        <f t="shared" ref="D11:D12" si="1">C11+D10</f>
        <v>3235</v>
      </c>
    </row>
    <row r="12" spans="1:4" ht="14.25" customHeight="1">
      <c r="A12" s="20">
        <v>45806</v>
      </c>
      <c r="B12" s="33" t="s">
        <v>107</v>
      </c>
      <c r="C12" s="17">
        <v>260</v>
      </c>
      <c r="D12" s="25">
        <f t="shared" si="1"/>
        <v>3495</v>
      </c>
    </row>
    <row r="13" spans="1:4" ht="14.25" customHeight="1">
      <c r="A13" s="20">
        <v>45806</v>
      </c>
      <c r="B13" s="33" t="s">
        <v>105</v>
      </c>
      <c r="C13" s="33">
        <v>200</v>
      </c>
      <c r="D13" s="25">
        <f>C13+D12</f>
        <v>3695</v>
      </c>
    </row>
    <row r="14" spans="1:4" ht="14.25" customHeight="1">
      <c r="A14" s="20">
        <v>45804</v>
      </c>
      <c r="B14" s="33" t="s">
        <v>74</v>
      </c>
      <c r="C14" s="17">
        <v>200</v>
      </c>
      <c r="D14" s="25">
        <f>C14+D13</f>
        <v>3895</v>
      </c>
    </row>
    <row r="15" spans="1:4" ht="14.25" customHeight="1">
      <c r="A15" s="20"/>
      <c r="B15" s="30" t="s">
        <v>102</v>
      </c>
      <c r="C15" s="19"/>
      <c r="D15" s="17">
        <f t="shared" ref="D15:D18" si="2">D14+C15</f>
        <v>3895</v>
      </c>
    </row>
    <row r="16" spans="1:4" ht="14.25" customHeight="1">
      <c r="A16" s="20">
        <v>45804</v>
      </c>
      <c r="B16" s="17" t="s">
        <v>77</v>
      </c>
      <c r="C16" s="30">
        <v>-45</v>
      </c>
      <c r="D16" s="17">
        <f t="shared" si="2"/>
        <v>3850</v>
      </c>
    </row>
    <row r="17" spans="1:4" ht="14.25" customHeight="1">
      <c r="A17" s="20">
        <v>45810</v>
      </c>
      <c r="B17" s="32" t="s">
        <v>109</v>
      </c>
      <c r="C17" s="19">
        <v>-1000</v>
      </c>
      <c r="D17" s="17">
        <f t="shared" si="2"/>
        <v>2850</v>
      </c>
    </row>
    <row r="18" spans="1:4" ht="14.25" customHeight="1">
      <c r="A18" s="20"/>
      <c r="B18" s="17"/>
      <c r="C18" s="19"/>
      <c r="D18" s="17">
        <f t="shared" si="2"/>
        <v>2850</v>
      </c>
    </row>
    <row r="19" spans="1:4" ht="14.25" customHeight="1">
      <c r="A19" s="20"/>
      <c r="B19" s="17"/>
      <c r="C19" s="26"/>
      <c r="D19" s="17"/>
    </row>
    <row r="20" spans="1:4" ht="14.25" customHeight="1">
      <c r="A20" s="154" t="s">
        <v>137</v>
      </c>
      <c r="B20" s="144"/>
      <c r="C20" s="152">
        <v>3895</v>
      </c>
      <c r="D20" s="144"/>
    </row>
    <row r="21" spans="1:4" ht="14.25" customHeight="1">
      <c r="A21" s="143" t="s">
        <v>82</v>
      </c>
      <c r="B21" s="144"/>
      <c r="C21" s="149">
        <v>1045</v>
      </c>
      <c r="D21" s="144"/>
    </row>
    <row r="22" spans="1:4" ht="14.25" customHeight="1">
      <c r="A22" s="143" t="s">
        <v>83</v>
      </c>
      <c r="B22" s="144"/>
      <c r="C22" s="151">
        <v>2850</v>
      </c>
      <c r="D22" s="144"/>
    </row>
    <row r="23" spans="1:4" ht="14.25" customHeight="1">
      <c r="A23" s="154" t="s">
        <v>84</v>
      </c>
      <c r="B23" s="144"/>
      <c r="C23" s="150">
        <v>1425</v>
      </c>
      <c r="D23" s="144"/>
    </row>
    <row r="24" spans="1:4" ht="14.25" customHeight="1">
      <c r="A24" s="143" t="s">
        <v>85</v>
      </c>
      <c r="B24" s="144"/>
      <c r="C24" s="150">
        <v>712.5</v>
      </c>
      <c r="D24" s="144"/>
    </row>
    <row r="25" spans="1:4" ht="14.25" customHeight="1">
      <c r="A25" s="143" t="s">
        <v>86</v>
      </c>
      <c r="B25" s="144"/>
      <c r="C25" s="150">
        <v>712.5</v>
      </c>
      <c r="D25" s="144"/>
    </row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</sheetData>
  <autoFilter ref="A2:D12" xr:uid="{00000000-0009-0000-0000-000004000000}">
    <sortState xmlns:xlrd2="http://schemas.microsoft.com/office/spreadsheetml/2017/richdata2" ref="A2:D12">
      <sortCondition ref="A2:A12"/>
    </sortState>
  </autoFilter>
  <mergeCells count="13">
    <mergeCell ref="A22:B22"/>
    <mergeCell ref="C22:D22"/>
    <mergeCell ref="A1:D1"/>
    <mergeCell ref="A20:B20"/>
    <mergeCell ref="C20:D20"/>
    <mergeCell ref="A21:B21"/>
    <mergeCell ref="C21:D21"/>
    <mergeCell ref="A23:B23"/>
    <mergeCell ref="C23:D23"/>
    <mergeCell ref="A24:B24"/>
    <mergeCell ref="C24:D24"/>
    <mergeCell ref="A25:B25"/>
    <mergeCell ref="C25:D25"/>
  </mergeCells>
  <conditionalFormatting sqref="D2">
    <cfRule type="cellIs" dxfId="32" priority="5" operator="equal">
      <formula>#REF!</formula>
    </cfRule>
  </conditionalFormatting>
  <conditionalFormatting sqref="D2:D11 D15:D19 D26:D928">
    <cfRule type="cellIs" dxfId="31" priority="2" operator="lessThan">
      <formula>0</formula>
    </cfRule>
    <cfRule type="cellIs" dxfId="30" priority="3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2C7F-C66E-42E2-806F-19A418561C97}">
  <dimension ref="A1:D930"/>
  <sheetViews>
    <sheetView workbookViewId="0">
      <selection activeCell="B20" sqref="B20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3" t="s">
        <v>110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s="40" customFormat="1" ht="14.25" customHeight="1">
      <c r="A3" s="39">
        <v>45810</v>
      </c>
      <c r="B3" s="30" t="s">
        <v>111</v>
      </c>
      <c r="C3" s="30">
        <v>2850</v>
      </c>
      <c r="D3" s="30">
        <f>C3</f>
        <v>2850</v>
      </c>
    </row>
    <row r="4" spans="1:4" ht="14.25" customHeight="1">
      <c r="A4" s="20">
        <v>45810</v>
      </c>
      <c r="B4" s="32" t="s">
        <v>68</v>
      </c>
      <c r="C4" s="17">
        <v>200</v>
      </c>
      <c r="D4" s="24">
        <f t="shared" ref="D4:D5" si="0">C4+D3</f>
        <v>3050</v>
      </c>
    </row>
    <row r="5" spans="1:4" ht="14.25" customHeight="1">
      <c r="A5" s="20">
        <v>45810</v>
      </c>
      <c r="B5" s="32" t="s">
        <v>116</v>
      </c>
      <c r="C5" s="42">
        <v>-100</v>
      </c>
      <c r="D5" s="56">
        <f t="shared" si="0"/>
        <v>2950</v>
      </c>
    </row>
    <row r="6" spans="1:4" ht="14.25" customHeight="1">
      <c r="A6" s="20">
        <v>45811</v>
      </c>
      <c r="B6" s="32" t="s">
        <v>115</v>
      </c>
      <c r="C6" s="54">
        <v>80</v>
      </c>
      <c r="D6" s="57">
        <f>C6+D5</f>
        <v>3030</v>
      </c>
    </row>
    <row r="7" spans="1:4" ht="14.25" customHeight="1">
      <c r="A7" s="20">
        <v>45812</v>
      </c>
      <c r="B7" s="53" t="s">
        <v>117</v>
      </c>
      <c r="C7" s="55">
        <v>-1425</v>
      </c>
      <c r="D7" s="59">
        <f>C7+D6</f>
        <v>1605</v>
      </c>
    </row>
    <row r="8" spans="1:4" ht="14.25" customHeight="1">
      <c r="A8" s="20">
        <v>45812</v>
      </c>
      <c r="B8" s="53" t="s">
        <v>118</v>
      </c>
      <c r="C8" s="55">
        <v>-712.5</v>
      </c>
      <c r="D8" s="59">
        <f>C8+D7</f>
        <v>892.5</v>
      </c>
    </row>
    <row r="9" spans="1:4" ht="14.25" customHeight="1">
      <c r="A9" s="20">
        <v>45812</v>
      </c>
      <c r="B9" s="53" t="s">
        <v>119</v>
      </c>
      <c r="C9" s="55">
        <v>-712.5</v>
      </c>
      <c r="D9" s="59">
        <f>C9+D8</f>
        <v>180</v>
      </c>
    </row>
    <row r="10" spans="1:4" ht="14.25" customHeight="1">
      <c r="A10" s="20">
        <v>45816</v>
      </c>
      <c r="B10" s="33" t="s">
        <v>126</v>
      </c>
      <c r="C10" s="52">
        <v>200</v>
      </c>
      <c r="D10" s="60">
        <f>C10+D9</f>
        <v>380</v>
      </c>
    </row>
    <row r="11" spans="1:4" ht="14.25" customHeight="1">
      <c r="A11" s="20">
        <v>45818</v>
      </c>
      <c r="B11" s="33" t="s">
        <v>128</v>
      </c>
      <c r="C11" s="17">
        <v>200</v>
      </c>
      <c r="D11" s="61">
        <f t="shared" ref="D11:D12" si="1">C11+D10</f>
        <v>580</v>
      </c>
    </row>
    <row r="12" spans="1:4" ht="14.25" customHeight="1">
      <c r="A12" s="20">
        <v>45824</v>
      </c>
      <c r="B12" s="32" t="s">
        <v>69</v>
      </c>
      <c r="C12" s="33">
        <v>200</v>
      </c>
      <c r="D12" s="58">
        <f t="shared" si="1"/>
        <v>780</v>
      </c>
    </row>
    <row r="13" spans="1:4" ht="14.25" customHeight="1">
      <c r="A13" s="20">
        <v>45824</v>
      </c>
      <c r="B13" s="33" t="s">
        <v>72</v>
      </c>
      <c r="C13" s="33">
        <v>200</v>
      </c>
      <c r="D13" s="58">
        <f>C13+D12</f>
        <v>980</v>
      </c>
    </row>
    <row r="14" spans="1:4" ht="14.25" customHeight="1">
      <c r="A14" s="20">
        <v>45824</v>
      </c>
      <c r="B14" s="33" t="s">
        <v>127</v>
      </c>
      <c r="C14" s="33">
        <v>200</v>
      </c>
      <c r="D14" s="58">
        <f>C14+D13</f>
        <v>1180</v>
      </c>
    </row>
    <row r="15" spans="1:4" ht="14.25" customHeight="1">
      <c r="A15" s="20">
        <v>45824</v>
      </c>
      <c r="B15" s="33" t="s">
        <v>77</v>
      </c>
      <c r="C15" s="30">
        <v>-45</v>
      </c>
      <c r="D15" s="61">
        <f>D14+C15</f>
        <v>1135</v>
      </c>
    </row>
    <row r="16" spans="1:4" ht="14.25" customHeight="1">
      <c r="A16" s="20">
        <v>45825</v>
      </c>
      <c r="B16" s="32" t="s">
        <v>70</v>
      </c>
      <c r="C16" s="33">
        <v>200</v>
      </c>
      <c r="D16" s="61">
        <f>D15+C16</f>
        <v>1335</v>
      </c>
    </row>
    <row r="17" spans="1:4" ht="14.25" customHeight="1">
      <c r="A17" s="20">
        <v>45828</v>
      </c>
      <c r="B17" s="32" t="s">
        <v>130</v>
      </c>
      <c r="C17" s="30">
        <v>-800</v>
      </c>
      <c r="D17" s="61">
        <f>D16+C17</f>
        <v>535</v>
      </c>
    </row>
    <row r="18" spans="1:4" ht="14.25" customHeight="1">
      <c r="A18" s="20">
        <v>45833</v>
      </c>
      <c r="B18" s="33" t="s">
        <v>129</v>
      </c>
      <c r="C18" s="33">
        <v>200</v>
      </c>
      <c r="D18" s="61">
        <f>C18+D17</f>
        <v>735</v>
      </c>
    </row>
    <row r="19" spans="1:4" ht="14.25" customHeight="1">
      <c r="A19" s="72">
        <v>45847</v>
      </c>
      <c r="B19" s="33" t="s">
        <v>139</v>
      </c>
      <c r="C19" s="33">
        <v>130</v>
      </c>
      <c r="D19" s="61">
        <f>D18+C19</f>
        <v>865</v>
      </c>
    </row>
    <row r="20" spans="1:4" ht="14.25" customHeight="1">
      <c r="A20" s="72"/>
      <c r="B20" s="30" t="s">
        <v>154</v>
      </c>
      <c r="C20" s="33"/>
      <c r="D20" s="61">
        <f>C20+D19</f>
        <v>865</v>
      </c>
    </row>
    <row r="21" spans="1:4" ht="14.25" customHeight="1">
      <c r="A21" s="20"/>
      <c r="B21" s="33"/>
      <c r="C21" s="70"/>
      <c r="D21" s="61"/>
    </row>
    <row r="22" spans="1:4" ht="14.25" customHeight="1">
      <c r="A22" s="154" t="s">
        <v>136</v>
      </c>
      <c r="B22" s="144"/>
      <c r="C22" s="152"/>
      <c r="D22" s="144"/>
    </row>
    <row r="23" spans="1:4" ht="14.25" customHeight="1">
      <c r="A23" s="143" t="s">
        <v>82</v>
      </c>
      <c r="B23" s="144"/>
      <c r="C23" s="149">
        <v>945</v>
      </c>
      <c r="D23" s="144"/>
    </row>
    <row r="24" spans="1:4" ht="14.25" customHeight="1">
      <c r="A24" s="143" t="s">
        <v>83</v>
      </c>
      <c r="B24" s="144"/>
      <c r="C24" s="151">
        <v>865</v>
      </c>
      <c r="D24" s="144"/>
    </row>
    <row r="25" spans="1:4" ht="14.25" customHeight="1">
      <c r="A25" s="143" t="s">
        <v>84</v>
      </c>
      <c r="B25" s="144"/>
      <c r="C25" s="150">
        <v>432.5</v>
      </c>
      <c r="D25" s="144"/>
    </row>
    <row r="26" spans="1:4" ht="14.25" customHeight="1">
      <c r="A26" s="143" t="s">
        <v>85</v>
      </c>
      <c r="B26" s="144"/>
      <c r="C26" s="150">
        <v>216.25</v>
      </c>
      <c r="D26" s="144"/>
    </row>
    <row r="27" spans="1:4" ht="14.25" customHeight="1">
      <c r="A27" s="143" t="s">
        <v>86</v>
      </c>
      <c r="B27" s="144"/>
      <c r="C27" s="150">
        <v>216.25</v>
      </c>
      <c r="D27" s="144"/>
    </row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</sheetData>
  <autoFilter ref="A2:D12" xr:uid="{00000000-0009-0000-0000-000004000000}">
    <sortState xmlns:xlrd2="http://schemas.microsoft.com/office/spreadsheetml/2017/richdata2" ref="A2:D12">
      <sortCondition ref="A2:A12"/>
    </sortState>
  </autoFilter>
  <sortState xmlns:xlrd2="http://schemas.microsoft.com/office/spreadsheetml/2017/richdata2" ref="A4:C20">
    <sortCondition ref="A3:A20"/>
  </sortState>
  <mergeCells count="13">
    <mergeCell ref="A25:B25"/>
    <mergeCell ref="C25:D25"/>
    <mergeCell ref="A26:B26"/>
    <mergeCell ref="C26:D26"/>
    <mergeCell ref="A27:B27"/>
    <mergeCell ref="C27:D27"/>
    <mergeCell ref="A24:B24"/>
    <mergeCell ref="C24:D24"/>
    <mergeCell ref="A1:D1"/>
    <mergeCell ref="A22:B22"/>
    <mergeCell ref="C22:D22"/>
    <mergeCell ref="A23:B23"/>
    <mergeCell ref="C23:D23"/>
  </mergeCells>
  <conditionalFormatting sqref="D2">
    <cfRule type="cellIs" dxfId="29" priority="3" operator="equal">
      <formula>#REF!</formula>
    </cfRule>
  </conditionalFormatting>
  <conditionalFormatting sqref="D2:D6 D10:D11 D15:D21 D28:D930">
    <cfRule type="cellIs" dxfId="28" priority="1" operator="lessThan">
      <formula>0</formula>
    </cfRule>
    <cfRule type="cellIs" dxfId="27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75A4-DD98-489E-B560-5ABE17E036ED}">
  <dimension ref="A1:D932"/>
  <sheetViews>
    <sheetView workbookViewId="0">
      <selection activeCell="B19" sqref="B19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3" t="s">
        <v>141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s="40" customFormat="1" ht="14.25" customHeight="1">
      <c r="A3" s="39">
        <v>45839</v>
      </c>
      <c r="B3" s="30" t="s">
        <v>131</v>
      </c>
      <c r="C3" s="30">
        <v>865</v>
      </c>
      <c r="D3" s="30">
        <f>C3</f>
        <v>865</v>
      </c>
    </row>
    <row r="4" spans="1:4" ht="14.25" customHeight="1">
      <c r="A4" s="20">
        <v>45839</v>
      </c>
      <c r="B4" s="32" t="s">
        <v>126</v>
      </c>
      <c r="C4" s="33">
        <v>200</v>
      </c>
      <c r="D4" s="24">
        <f>C4</f>
        <v>200</v>
      </c>
    </row>
    <row r="5" spans="1:4" ht="14.25" customHeight="1">
      <c r="A5" s="20">
        <v>45846</v>
      </c>
      <c r="B5" s="32" t="s">
        <v>68</v>
      </c>
      <c r="C5" s="33">
        <v>200</v>
      </c>
      <c r="D5" s="56">
        <f t="shared" ref="D5:D10" si="0">C5+D4</f>
        <v>400</v>
      </c>
    </row>
    <row r="6" spans="1:4" ht="14.25" customHeight="1">
      <c r="A6" s="20">
        <v>45850</v>
      </c>
      <c r="B6" s="33" t="s">
        <v>79</v>
      </c>
      <c r="C6" s="54">
        <v>200</v>
      </c>
      <c r="D6" s="57">
        <f t="shared" si="0"/>
        <v>600</v>
      </c>
    </row>
    <row r="7" spans="1:4" ht="14.25" customHeight="1">
      <c r="A7" s="20">
        <v>45853</v>
      </c>
      <c r="B7" s="53" t="s">
        <v>69</v>
      </c>
      <c r="C7" s="74">
        <v>200</v>
      </c>
      <c r="D7" s="59">
        <f t="shared" si="0"/>
        <v>800</v>
      </c>
    </row>
    <row r="8" spans="1:4" ht="14.25" customHeight="1">
      <c r="A8" s="20">
        <v>45853</v>
      </c>
      <c r="B8" s="53" t="s">
        <v>99</v>
      </c>
      <c r="C8" s="75">
        <v>200</v>
      </c>
      <c r="D8" s="59">
        <f t="shared" si="0"/>
        <v>1000</v>
      </c>
    </row>
    <row r="9" spans="1:4" ht="14.25" customHeight="1">
      <c r="A9" s="20">
        <v>45854</v>
      </c>
      <c r="B9" s="53" t="s">
        <v>100</v>
      </c>
      <c r="C9" s="75">
        <v>200</v>
      </c>
      <c r="D9" s="59">
        <f t="shared" si="0"/>
        <v>1200</v>
      </c>
    </row>
    <row r="10" spans="1:4" ht="14.25" customHeight="1">
      <c r="A10" s="20">
        <v>45856</v>
      </c>
      <c r="B10" s="32" t="s">
        <v>70</v>
      </c>
      <c r="C10" s="73">
        <v>200</v>
      </c>
      <c r="D10" s="60">
        <f t="shared" si="0"/>
        <v>1400</v>
      </c>
    </row>
    <row r="11" spans="1:4" ht="14.25" customHeight="1">
      <c r="A11" s="20">
        <v>45860</v>
      </c>
      <c r="B11" s="33" t="s">
        <v>133</v>
      </c>
      <c r="C11" s="30">
        <v>-35</v>
      </c>
      <c r="D11" s="61">
        <f t="shared" ref="D11:D12" si="1">C11+D10</f>
        <v>1365</v>
      </c>
    </row>
    <row r="12" spans="1:4" ht="14.25" customHeight="1">
      <c r="A12" s="20">
        <v>45860</v>
      </c>
      <c r="B12" s="32" t="s">
        <v>134</v>
      </c>
      <c r="C12" s="30">
        <v>-25</v>
      </c>
      <c r="D12" s="58">
        <f t="shared" si="1"/>
        <v>1340</v>
      </c>
    </row>
    <row r="13" spans="1:4" ht="14.25" customHeight="1">
      <c r="A13" s="20">
        <v>45862</v>
      </c>
      <c r="B13" s="32" t="s">
        <v>72</v>
      </c>
      <c r="C13" s="33">
        <v>200</v>
      </c>
      <c r="D13" s="58">
        <f>C13+D12</f>
        <v>1540</v>
      </c>
    </row>
    <row r="14" spans="1:4" ht="14.25" customHeight="1">
      <c r="A14" s="20">
        <v>45866</v>
      </c>
      <c r="B14" s="33" t="s">
        <v>132</v>
      </c>
      <c r="C14" s="33">
        <v>130</v>
      </c>
      <c r="D14" s="58">
        <f>C14+D13</f>
        <v>1670</v>
      </c>
    </row>
    <row r="15" spans="1:4" ht="14.25" customHeight="1">
      <c r="A15" s="20">
        <v>45867</v>
      </c>
      <c r="B15" s="33" t="s">
        <v>140</v>
      </c>
      <c r="C15" s="33">
        <v>280</v>
      </c>
      <c r="D15" s="61">
        <f>D14+C15</f>
        <v>1950</v>
      </c>
    </row>
    <row r="16" spans="1:4" ht="14.25" customHeight="1">
      <c r="A16" s="20">
        <v>45869</v>
      </c>
      <c r="B16" s="33" t="s">
        <v>135</v>
      </c>
      <c r="C16" s="30">
        <v>-600</v>
      </c>
      <c r="D16" s="61">
        <f>D15+C16</f>
        <v>1350</v>
      </c>
    </row>
    <row r="17" spans="1:4" ht="14.25" customHeight="1">
      <c r="A17" s="72"/>
      <c r="B17" s="30" t="s">
        <v>154</v>
      </c>
      <c r="C17" s="33"/>
      <c r="D17" s="61">
        <f>D16+C17</f>
        <v>1350</v>
      </c>
    </row>
    <row r="18" spans="1:4" ht="14.25" customHeight="1">
      <c r="A18" s="20"/>
      <c r="B18" s="33"/>
      <c r="C18" s="33"/>
      <c r="D18" s="61">
        <f t="shared" ref="D18" si="2">D17+C18</f>
        <v>1350</v>
      </c>
    </row>
    <row r="19" spans="1:4" ht="14.25" customHeight="1">
      <c r="A19" s="20"/>
      <c r="B19" s="33"/>
      <c r="C19" s="70"/>
      <c r="D19" s="61">
        <f>C19+D18</f>
        <v>1350</v>
      </c>
    </row>
    <row r="20" spans="1:4" ht="14.25" customHeight="1">
      <c r="A20" s="20"/>
      <c r="B20" s="33"/>
      <c r="C20" s="70"/>
      <c r="D20" s="61"/>
    </row>
    <row r="21" spans="1:4" ht="14.25" customHeight="1">
      <c r="A21" s="20"/>
      <c r="B21" s="33"/>
      <c r="C21" s="70"/>
      <c r="D21" s="61"/>
    </row>
    <row r="22" spans="1:4" ht="14.25" customHeight="1">
      <c r="A22" s="20"/>
      <c r="B22" s="33"/>
      <c r="C22" s="70"/>
      <c r="D22" s="61"/>
    </row>
    <row r="23" spans="1:4" ht="14.25" customHeight="1">
      <c r="A23" s="20"/>
      <c r="B23" s="33"/>
      <c r="C23" s="70"/>
      <c r="D23" s="61"/>
    </row>
    <row r="24" spans="1:4" ht="14.25" customHeight="1">
      <c r="A24" s="154" t="s">
        <v>138</v>
      </c>
      <c r="B24" s="144"/>
      <c r="C24" s="152">
        <v>2010</v>
      </c>
      <c r="D24" s="144"/>
    </row>
    <row r="25" spans="1:4" ht="14.25" customHeight="1">
      <c r="A25" s="143" t="s">
        <v>82</v>
      </c>
      <c r="B25" s="144"/>
      <c r="C25" s="149">
        <v>-660</v>
      </c>
      <c r="D25" s="144"/>
    </row>
    <row r="26" spans="1:4" ht="14.25" customHeight="1">
      <c r="A26" s="143" t="s">
        <v>83</v>
      </c>
      <c r="B26" s="144"/>
      <c r="C26" s="151">
        <f>C25+C24</f>
        <v>1350</v>
      </c>
      <c r="D26" s="144"/>
    </row>
    <row r="27" spans="1:4" ht="14.25" customHeight="1">
      <c r="A27" s="143" t="s">
        <v>84</v>
      </c>
      <c r="B27" s="144"/>
      <c r="C27" s="150">
        <v>675</v>
      </c>
      <c r="D27" s="144"/>
    </row>
    <row r="28" spans="1:4" ht="14.25" customHeight="1">
      <c r="A28" s="143" t="s">
        <v>85</v>
      </c>
      <c r="B28" s="144"/>
      <c r="C28" s="150">
        <v>337.5</v>
      </c>
      <c r="D28" s="144"/>
    </row>
    <row r="29" spans="1:4" ht="14.25" customHeight="1">
      <c r="A29" s="143" t="s">
        <v>86</v>
      </c>
      <c r="B29" s="144"/>
      <c r="C29" s="150">
        <v>337.5</v>
      </c>
      <c r="D29" s="144"/>
    </row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</sheetData>
  <autoFilter ref="A2:D12" xr:uid="{00000000-0009-0000-0000-000004000000}">
    <sortState xmlns:xlrd2="http://schemas.microsoft.com/office/spreadsheetml/2017/richdata2" ref="A2:D12">
      <sortCondition ref="A2:A12"/>
    </sortState>
  </autoFilter>
  <sortState xmlns:xlrd2="http://schemas.microsoft.com/office/spreadsheetml/2017/richdata2" ref="A4:C17">
    <sortCondition ref="A3:A17"/>
  </sortState>
  <mergeCells count="13">
    <mergeCell ref="A26:B26"/>
    <mergeCell ref="C26:D26"/>
    <mergeCell ref="A1:D1"/>
    <mergeCell ref="A24:B24"/>
    <mergeCell ref="C24:D24"/>
    <mergeCell ref="A25:B25"/>
    <mergeCell ref="C25:D25"/>
    <mergeCell ref="A27:B27"/>
    <mergeCell ref="C27:D27"/>
    <mergeCell ref="A28:B28"/>
    <mergeCell ref="C28:D28"/>
    <mergeCell ref="A29:B29"/>
    <mergeCell ref="C29:D29"/>
  </mergeCells>
  <conditionalFormatting sqref="D2">
    <cfRule type="cellIs" dxfId="26" priority="3" operator="equal">
      <formula>#REF!</formula>
    </cfRule>
  </conditionalFormatting>
  <conditionalFormatting sqref="D2:D6 D10:D11 D15:D23 D30:D932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DBC8-C9C5-4F40-ADB1-02D6A51E47DA}">
  <dimension ref="A1:D934"/>
  <sheetViews>
    <sheetView workbookViewId="0">
      <selection activeCell="B15" sqref="B15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3" t="s">
        <v>142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s="40" customFormat="1" ht="14.25" customHeight="1">
      <c r="A3" s="39">
        <v>45870</v>
      </c>
      <c r="B3" s="30" t="s">
        <v>143</v>
      </c>
      <c r="C3" s="30">
        <v>1350</v>
      </c>
      <c r="D3" s="30">
        <f>C3</f>
        <v>1350</v>
      </c>
    </row>
    <row r="4" spans="1:4" ht="14.25" customHeight="1">
      <c r="A4" s="20">
        <v>45874</v>
      </c>
      <c r="B4" s="32" t="s">
        <v>126</v>
      </c>
      <c r="C4" s="33">
        <v>200</v>
      </c>
      <c r="D4" s="24">
        <f>C4</f>
        <v>200</v>
      </c>
    </row>
    <row r="5" spans="1:4" ht="14.25" customHeight="1">
      <c r="A5" s="20">
        <v>45874</v>
      </c>
      <c r="B5" s="84" t="s">
        <v>147</v>
      </c>
      <c r="C5" s="33">
        <v>400</v>
      </c>
      <c r="D5" s="56">
        <f t="shared" ref="D5:D11" si="0">C5+D4</f>
        <v>600</v>
      </c>
    </row>
    <row r="6" spans="1:4" ht="14.25" customHeight="1">
      <c r="A6" s="20">
        <v>45875</v>
      </c>
      <c r="B6" s="32" t="s">
        <v>68</v>
      </c>
      <c r="C6" s="54">
        <v>200</v>
      </c>
      <c r="D6" s="57">
        <f t="shared" si="0"/>
        <v>800</v>
      </c>
    </row>
    <row r="7" spans="1:4" ht="14.25" customHeight="1">
      <c r="A7" s="20">
        <v>45875</v>
      </c>
      <c r="B7" s="85" t="s">
        <v>154</v>
      </c>
      <c r="C7" s="93">
        <v>150</v>
      </c>
      <c r="D7" s="59">
        <f t="shared" si="0"/>
        <v>950</v>
      </c>
    </row>
    <row r="8" spans="1:4" ht="14.25" customHeight="1">
      <c r="A8" s="20">
        <v>45880</v>
      </c>
      <c r="B8" s="70" t="s">
        <v>79</v>
      </c>
      <c r="C8" s="75">
        <v>200</v>
      </c>
      <c r="D8" s="59">
        <f>C8+D7</f>
        <v>1150</v>
      </c>
    </row>
    <row r="9" spans="1:4" ht="14.25" customHeight="1">
      <c r="A9" s="20">
        <v>45882</v>
      </c>
      <c r="B9" s="32" t="s">
        <v>69</v>
      </c>
      <c r="C9" s="92">
        <v>200</v>
      </c>
      <c r="D9" s="60">
        <f>C9+D8</f>
        <v>1350</v>
      </c>
    </row>
    <row r="10" spans="1:4" ht="14.25" customHeight="1">
      <c r="A10" s="20">
        <v>45884</v>
      </c>
      <c r="B10" s="32" t="s">
        <v>70</v>
      </c>
      <c r="C10" s="33">
        <v>200</v>
      </c>
      <c r="D10" s="61">
        <f t="shared" si="0"/>
        <v>1550</v>
      </c>
    </row>
    <row r="11" spans="1:4" ht="14.25" customHeight="1">
      <c r="A11" s="20">
        <v>45884</v>
      </c>
      <c r="B11" s="32" t="s">
        <v>72</v>
      </c>
      <c r="C11" s="33">
        <v>200</v>
      </c>
      <c r="D11" s="58">
        <f t="shared" si="0"/>
        <v>1750</v>
      </c>
    </row>
    <row r="12" spans="1:4" ht="14.25" customHeight="1">
      <c r="A12" s="20">
        <v>45884</v>
      </c>
      <c r="B12" s="32" t="s">
        <v>74</v>
      </c>
      <c r="C12" s="33">
        <v>200</v>
      </c>
      <c r="D12" s="58">
        <f>C12+D11</f>
        <v>1950</v>
      </c>
    </row>
    <row r="13" spans="1:4" ht="14.25" customHeight="1">
      <c r="A13" s="20">
        <v>45885</v>
      </c>
      <c r="B13" s="33" t="s">
        <v>156</v>
      </c>
      <c r="C13" s="33">
        <v>280</v>
      </c>
      <c r="D13" s="58">
        <f>C13+D12</f>
        <v>2230</v>
      </c>
    </row>
    <row r="14" spans="1:4" ht="14.25" customHeight="1">
      <c r="A14" s="72">
        <v>45887</v>
      </c>
      <c r="B14" s="33" t="s">
        <v>150</v>
      </c>
      <c r="C14" s="33">
        <v>280</v>
      </c>
      <c r="D14" s="61">
        <f>D13+C14</f>
        <v>2510</v>
      </c>
    </row>
    <row r="15" spans="1:4" ht="14.25" customHeight="1">
      <c r="A15" s="20">
        <v>45889</v>
      </c>
      <c r="B15" s="33" t="s">
        <v>152</v>
      </c>
      <c r="C15" s="33">
        <v>400</v>
      </c>
      <c r="D15" s="61">
        <f>D14+C15</f>
        <v>2910</v>
      </c>
    </row>
    <row r="16" spans="1:4" ht="14.25" customHeight="1">
      <c r="A16" s="20">
        <v>45889</v>
      </c>
      <c r="B16" s="33" t="s">
        <v>153</v>
      </c>
      <c r="C16" s="33">
        <v>200</v>
      </c>
      <c r="D16" s="61">
        <f>D15+C16</f>
        <v>3110</v>
      </c>
    </row>
    <row r="17" spans="1:4" ht="14.25" customHeight="1">
      <c r="A17" s="20">
        <v>45889</v>
      </c>
      <c r="B17" s="33" t="s">
        <v>133</v>
      </c>
      <c r="C17" s="30">
        <v>-35</v>
      </c>
      <c r="D17" s="61">
        <f t="shared" ref="D17" si="1">D16+C17</f>
        <v>3075</v>
      </c>
    </row>
    <row r="18" spans="1:4" ht="14.25" customHeight="1">
      <c r="A18" s="20">
        <v>45891</v>
      </c>
      <c r="B18" s="33" t="s">
        <v>157</v>
      </c>
      <c r="C18" s="85">
        <v>-800</v>
      </c>
      <c r="D18" s="61">
        <f>C18+D17</f>
        <v>2275</v>
      </c>
    </row>
    <row r="19" spans="1:4" ht="14.25" customHeight="1">
      <c r="A19" s="20">
        <v>45897</v>
      </c>
      <c r="B19" s="33" t="s">
        <v>132</v>
      </c>
      <c r="C19" s="70">
        <v>130</v>
      </c>
      <c r="D19" s="61">
        <f>C19+D18</f>
        <v>2405</v>
      </c>
    </row>
    <row r="20" spans="1:4" ht="14.25" customHeight="1">
      <c r="A20" s="20">
        <v>45898</v>
      </c>
      <c r="B20" s="33" t="s">
        <v>146</v>
      </c>
      <c r="C20" s="70">
        <v>200</v>
      </c>
      <c r="D20" s="61">
        <f>C20+D19</f>
        <v>2605</v>
      </c>
    </row>
    <row r="21" spans="1:4" ht="14.25" customHeight="1">
      <c r="A21" s="20">
        <v>45915</v>
      </c>
      <c r="B21" s="32" t="s">
        <v>99</v>
      </c>
      <c r="C21" s="70">
        <v>200</v>
      </c>
      <c r="D21" s="61">
        <f>C21+D20</f>
        <v>2805</v>
      </c>
    </row>
    <row r="22" spans="1:4" ht="14.25" customHeight="1">
      <c r="A22" s="20"/>
      <c r="B22" s="30" t="s">
        <v>167</v>
      </c>
      <c r="C22" s="33"/>
      <c r="D22" s="61">
        <f>C22+D21</f>
        <v>2805</v>
      </c>
    </row>
    <row r="23" spans="1:4" ht="14.25" customHeight="1">
      <c r="A23" s="20"/>
      <c r="B23" s="85" t="s">
        <v>168</v>
      </c>
      <c r="C23" s="30"/>
      <c r="D23" s="61"/>
    </row>
    <row r="24" spans="1:4" ht="14.25" customHeight="1">
      <c r="A24" s="20"/>
      <c r="B24" s="30" t="s">
        <v>172</v>
      </c>
      <c r="C24" s="70"/>
      <c r="D24" s="61"/>
    </row>
    <row r="25" spans="1:4" ht="14.25" customHeight="1">
      <c r="A25" s="20"/>
      <c r="B25" s="33"/>
      <c r="C25" s="70"/>
      <c r="D25" s="61"/>
    </row>
    <row r="26" spans="1:4" ht="14.25" customHeight="1">
      <c r="A26" s="154" t="s">
        <v>138</v>
      </c>
      <c r="B26" s="144"/>
      <c r="C26" s="152">
        <v>3640</v>
      </c>
      <c r="D26" s="144"/>
    </row>
    <row r="27" spans="1:4" ht="14.25" customHeight="1">
      <c r="A27" s="143" t="s">
        <v>82</v>
      </c>
      <c r="B27" s="144"/>
      <c r="C27" s="149">
        <v>-835</v>
      </c>
      <c r="D27" s="144"/>
    </row>
    <row r="28" spans="1:4" ht="14.25" customHeight="1">
      <c r="A28" s="143" t="s">
        <v>83</v>
      </c>
      <c r="B28" s="144"/>
      <c r="C28" s="151">
        <f>C27+C26</f>
        <v>2805</v>
      </c>
      <c r="D28" s="144"/>
    </row>
    <row r="29" spans="1:4" ht="14.25" customHeight="1">
      <c r="A29" s="143" t="s">
        <v>84</v>
      </c>
      <c r="B29" s="144"/>
      <c r="C29" s="150">
        <v>1402.5</v>
      </c>
      <c r="D29" s="144"/>
    </row>
    <row r="30" spans="1:4" ht="14.25" customHeight="1">
      <c r="A30" s="143" t="s">
        <v>85</v>
      </c>
      <c r="B30" s="144"/>
      <c r="C30" s="150">
        <v>701.25</v>
      </c>
      <c r="D30" s="144"/>
    </row>
    <row r="31" spans="1:4" ht="14.25" customHeight="1">
      <c r="A31" s="143" t="s">
        <v>86</v>
      </c>
      <c r="B31" s="144"/>
      <c r="C31" s="150">
        <v>701.25</v>
      </c>
      <c r="D31" s="144"/>
    </row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</sheetData>
  <autoFilter ref="A2:D11" xr:uid="{00000000-0009-0000-0000-000004000000}">
    <sortState xmlns:xlrd2="http://schemas.microsoft.com/office/spreadsheetml/2017/richdata2" ref="A2:D11">
      <sortCondition ref="A2:A11"/>
    </sortState>
  </autoFilter>
  <sortState xmlns:xlrd2="http://schemas.microsoft.com/office/spreadsheetml/2017/richdata2" ref="A4:C22">
    <sortCondition ref="A3:A22"/>
  </sortState>
  <mergeCells count="13">
    <mergeCell ref="A29:B29"/>
    <mergeCell ref="C29:D29"/>
    <mergeCell ref="A30:B30"/>
    <mergeCell ref="C30:D30"/>
    <mergeCell ref="A31:B31"/>
    <mergeCell ref="C31:D31"/>
    <mergeCell ref="A28:B28"/>
    <mergeCell ref="C28:D28"/>
    <mergeCell ref="A1:D1"/>
    <mergeCell ref="A26:B26"/>
    <mergeCell ref="C26:D26"/>
    <mergeCell ref="A27:B27"/>
    <mergeCell ref="C27:D27"/>
  </mergeCells>
  <conditionalFormatting sqref="D2">
    <cfRule type="cellIs" dxfId="23" priority="3" operator="equal">
      <formula>#REF!</formula>
    </cfRule>
  </conditionalFormatting>
  <conditionalFormatting sqref="D2:D6 D9:D10 D14:D25 D32:D934">
    <cfRule type="cellIs" dxfId="22" priority="1" operator="lessThan">
      <formula>0</formula>
    </cfRule>
    <cfRule type="cellIs" dxfId="21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332C-915A-4F65-93E3-0B2F113CA919}">
  <dimension ref="A1:D930"/>
  <sheetViews>
    <sheetView workbookViewId="0">
      <selection activeCell="A26" sqref="A26:B26"/>
    </sheetView>
  </sheetViews>
  <sheetFormatPr defaultColWidth="14.44140625" defaultRowHeight="15" customHeight="1"/>
  <cols>
    <col min="1" max="1" width="12" customWidth="1"/>
    <col min="2" max="2" width="48.2187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3" t="s">
        <v>144</v>
      </c>
      <c r="B1" s="147"/>
      <c r="C1" s="147"/>
      <c r="D1" s="147"/>
    </row>
    <row r="2" spans="1:4" ht="14.25" customHeight="1">
      <c r="A2" s="15" t="s">
        <v>49</v>
      </c>
      <c r="B2" s="15" t="s">
        <v>50</v>
      </c>
      <c r="C2" s="15" t="s">
        <v>51</v>
      </c>
      <c r="D2" s="15" t="s">
        <v>52</v>
      </c>
    </row>
    <row r="3" spans="1:4" s="40" customFormat="1" ht="14.25" customHeight="1">
      <c r="A3" s="39">
        <v>45839</v>
      </c>
      <c r="B3" s="30" t="s">
        <v>145</v>
      </c>
      <c r="C3" s="30">
        <v>2805</v>
      </c>
      <c r="D3" s="30">
        <f>C3</f>
        <v>2805</v>
      </c>
    </row>
    <row r="4" spans="1:4" ht="14.25" customHeight="1">
      <c r="A4" s="20">
        <v>45901</v>
      </c>
      <c r="B4" s="32" t="s">
        <v>126</v>
      </c>
      <c r="C4" s="33">
        <v>200</v>
      </c>
      <c r="D4" s="24">
        <f>C4</f>
        <v>200</v>
      </c>
    </row>
    <row r="5" spans="1:4" ht="14.25" customHeight="1">
      <c r="A5" s="20">
        <v>45905</v>
      </c>
      <c r="B5" s="33" t="s">
        <v>158</v>
      </c>
      <c r="C5" s="30">
        <v>-600</v>
      </c>
      <c r="D5" s="56">
        <f>C5+D4</f>
        <v>-400</v>
      </c>
    </row>
    <row r="6" spans="1:4" ht="14.25" customHeight="1">
      <c r="A6" s="20">
        <v>45909</v>
      </c>
      <c r="B6" s="32" t="s">
        <v>68</v>
      </c>
      <c r="C6" s="54">
        <v>200</v>
      </c>
      <c r="D6" s="57">
        <f>C6+D5</f>
        <v>-200</v>
      </c>
    </row>
    <row r="7" spans="1:4" ht="14.25" customHeight="1">
      <c r="A7" s="20">
        <v>45909</v>
      </c>
      <c r="B7" s="70" t="s">
        <v>79</v>
      </c>
      <c r="C7" s="75">
        <v>200</v>
      </c>
      <c r="D7" s="59">
        <f>C7+D6</f>
        <v>0</v>
      </c>
    </row>
    <row r="8" spans="1:4" ht="14.25" customHeight="1">
      <c r="A8" s="20">
        <v>45910</v>
      </c>
      <c r="B8" s="70" t="s">
        <v>151</v>
      </c>
      <c r="C8" s="75">
        <v>200</v>
      </c>
      <c r="D8" s="59">
        <f t="shared" ref="D8:D10" si="0">C8+D7</f>
        <v>200</v>
      </c>
    </row>
    <row r="9" spans="1:4" ht="14.25" customHeight="1">
      <c r="A9" s="20">
        <v>45915</v>
      </c>
      <c r="B9" s="32" t="s">
        <v>69</v>
      </c>
      <c r="C9" s="92">
        <v>200</v>
      </c>
      <c r="D9" s="60">
        <f>D8+C9</f>
        <v>400</v>
      </c>
    </row>
    <row r="10" spans="1:4" ht="14.25" customHeight="1">
      <c r="A10" s="20">
        <v>45915</v>
      </c>
      <c r="B10" s="32" t="s">
        <v>99</v>
      </c>
      <c r="C10" s="33">
        <v>200</v>
      </c>
      <c r="D10" s="61">
        <f t="shared" si="0"/>
        <v>600</v>
      </c>
    </row>
    <row r="11" spans="1:4" ht="14.25" customHeight="1">
      <c r="A11" s="20">
        <v>45915</v>
      </c>
      <c r="B11" s="32" t="s">
        <v>72</v>
      </c>
      <c r="C11" s="33">
        <v>200</v>
      </c>
      <c r="D11" s="58">
        <f t="shared" ref="D11:D17" si="1">C11+D10</f>
        <v>800</v>
      </c>
    </row>
    <row r="12" spans="1:4" ht="14.25" customHeight="1">
      <c r="A12" s="20">
        <v>45916</v>
      </c>
      <c r="B12" s="32" t="s">
        <v>70</v>
      </c>
      <c r="C12" s="33">
        <v>200</v>
      </c>
      <c r="D12" s="58">
        <f t="shared" si="1"/>
        <v>1000</v>
      </c>
    </row>
    <row r="13" spans="1:4" ht="14.25" customHeight="1">
      <c r="A13" s="20">
        <v>45920</v>
      </c>
      <c r="B13" s="33" t="s">
        <v>159</v>
      </c>
      <c r="C13" s="30">
        <v>-600</v>
      </c>
      <c r="D13" s="58">
        <f t="shared" si="1"/>
        <v>400</v>
      </c>
    </row>
    <row r="14" spans="1:4" ht="14.25" customHeight="1">
      <c r="A14" s="20">
        <v>45921</v>
      </c>
      <c r="B14" s="33" t="s">
        <v>163</v>
      </c>
      <c r="C14" s="30">
        <v>-400</v>
      </c>
      <c r="D14" s="61">
        <f t="shared" si="1"/>
        <v>0</v>
      </c>
    </row>
    <row r="15" spans="1:4" ht="14.25" customHeight="1">
      <c r="A15" s="20">
        <v>45922</v>
      </c>
      <c r="B15" s="32" t="s">
        <v>74</v>
      </c>
      <c r="C15" s="32">
        <v>200</v>
      </c>
      <c r="D15" s="61">
        <f t="shared" si="1"/>
        <v>200</v>
      </c>
    </row>
    <row r="16" spans="1:4" ht="14.25" customHeight="1">
      <c r="A16" s="20">
        <v>45922</v>
      </c>
      <c r="B16" s="33" t="s">
        <v>148</v>
      </c>
      <c r="C16" s="33">
        <v>200</v>
      </c>
      <c r="D16" s="61">
        <f t="shared" si="1"/>
        <v>400</v>
      </c>
    </row>
    <row r="17" spans="1:4" ht="14.25" customHeight="1">
      <c r="A17" s="20">
        <v>45922</v>
      </c>
      <c r="B17" s="33" t="s">
        <v>132</v>
      </c>
      <c r="C17" s="33">
        <v>130</v>
      </c>
      <c r="D17" s="61">
        <f t="shared" si="1"/>
        <v>530</v>
      </c>
    </row>
    <row r="18" spans="1:4" ht="14.25" customHeight="1">
      <c r="A18" s="72"/>
      <c r="B18" s="30" t="s">
        <v>155</v>
      </c>
      <c r="C18" s="70"/>
      <c r="D18" s="61"/>
    </row>
    <row r="19" spans="1:4" ht="14.25" customHeight="1">
      <c r="A19" s="20"/>
      <c r="B19" s="30" t="s">
        <v>149</v>
      </c>
      <c r="C19" s="70"/>
      <c r="D19" s="61"/>
    </row>
    <row r="20" spans="1:4" ht="14.25" customHeight="1">
      <c r="A20" s="20"/>
      <c r="B20" s="30" t="s">
        <v>172</v>
      </c>
      <c r="C20" s="70"/>
      <c r="D20" s="61"/>
    </row>
    <row r="21" spans="1:4" ht="14.25" customHeight="1">
      <c r="A21" s="20"/>
      <c r="B21" s="95" t="s">
        <v>177</v>
      </c>
      <c r="C21" s="70"/>
      <c r="D21" s="61"/>
    </row>
    <row r="22" spans="1:4" ht="14.25" customHeight="1">
      <c r="A22" s="154" t="s">
        <v>160</v>
      </c>
      <c r="B22" s="144"/>
      <c r="C22" s="152">
        <v>2130</v>
      </c>
      <c r="D22" s="144"/>
    </row>
    <row r="23" spans="1:4" ht="14.25" customHeight="1">
      <c r="A23" s="143" t="s">
        <v>82</v>
      </c>
      <c r="B23" s="144"/>
      <c r="C23" s="149">
        <v>-1200</v>
      </c>
      <c r="D23" s="144"/>
    </row>
    <row r="24" spans="1:4" ht="14.25" customHeight="1">
      <c r="A24" s="143" t="s">
        <v>83</v>
      </c>
      <c r="B24" s="144"/>
      <c r="C24" s="151">
        <f>C23+C22</f>
        <v>930</v>
      </c>
      <c r="D24" s="144"/>
    </row>
    <row r="25" spans="1:4" ht="14.25" customHeight="1">
      <c r="A25" s="143" t="s">
        <v>84</v>
      </c>
      <c r="B25" s="144"/>
      <c r="C25" s="155" t="s">
        <v>179</v>
      </c>
      <c r="D25" s="156"/>
    </row>
    <row r="26" spans="1:4" ht="14.25" customHeight="1">
      <c r="A26" s="143" t="s">
        <v>85</v>
      </c>
      <c r="B26" s="144"/>
      <c r="C26" s="155" t="s">
        <v>180</v>
      </c>
      <c r="D26" s="156"/>
    </row>
    <row r="27" spans="1:4" ht="14.25" customHeight="1">
      <c r="A27" s="143" t="s">
        <v>86</v>
      </c>
      <c r="B27" s="144"/>
      <c r="C27" s="155" t="s">
        <v>180</v>
      </c>
      <c r="D27" s="156"/>
    </row>
    <row r="28" spans="1:4" ht="14.25" customHeight="1">
      <c r="C28" s="110"/>
      <c r="D28" s="110"/>
    </row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</sheetData>
  <autoFilter ref="A2:D10" xr:uid="{00000000-0009-0000-0000-000004000000}">
    <sortState xmlns:xlrd2="http://schemas.microsoft.com/office/spreadsheetml/2017/richdata2" ref="A2:D10">
      <sortCondition ref="A2:A10"/>
    </sortState>
  </autoFilter>
  <sortState xmlns:xlrd2="http://schemas.microsoft.com/office/spreadsheetml/2017/richdata2" ref="A4:C20">
    <sortCondition ref="A3:A20"/>
  </sortState>
  <mergeCells count="13">
    <mergeCell ref="A25:B25"/>
    <mergeCell ref="C25:D25"/>
    <mergeCell ref="A26:B26"/>
    <mergeCell ref="C26:D26"/>
    <mergeCell ref="A27:B27"/>
    <mergeCell ref="C27:D27"/>
    <mergeCell ref="A24:B24"/>
    <mergeCell ref="C24:D24"/>
    <mergeCell ref="A1:D1"/>
    <mergeCell ref="A22:B22"/>
    <mergeCell ref="C22:D22"/>
    <mergeCell ref="A23:B23"/>
    <mergeCell ref="C23:D23"/>
  </mergeCells>
  <conditionalFormatting sqref="D2">
    <cfRule type="cellIs" dxfId="20" priority="3" operator="equal">
      <formula>#REF!</formula>
    </cfRule>
  </conditionalFormatting>
  <conditionalFormatting sqref="D2:D6 D9:D10 D28:D930 D14:D21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1578-CFD6-472B-8915-C53D491A7EB7}">
  <dimension ref="A1:E933"/>
  <sheetViews>
    <sheetView workbookViewId="0">
      <selection activeCell="E17" sqref="E17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14.44140625" customWidth="1"/>
    <col min="4" max="4" width="7.88671875" customWidth="1"/>
    <col min="5" max="5" width="7.44140625" customWidth="1"/>
    <col min="6" max="27" width="8.88671875" customWidth="1"/>
  </cols>
  <sheetData>
    <row r="1" spans="1:5" ht="14.25" customHeight="1">
      <c r="A1" s="153" t="s">
        <v>169</v>
      </c>
      <c r="B1" s="147"/>
      <c r="C1" s="147"/>
      <c r="D1" s="147"/>
      <c r="E1" s="147"/>
    </row>
    <row r="2" spans="1:5" ht="14.25" customHeight="1">
      <c r="A2" s="15" t="s">
        <v>49</v>
      </c>
      <c r="B2" s="15" t="s">
        <v>50</v>
      </c>
      <c r="C2" s="102" t="s">
        <v>184</v>
      </c>
      <c r="D2" s="15" t="s">
        <v>51</v>
      </c>
      <c r="E2" s="15" t="s">
        <v>52</v>
      </c>
    </row>
    <row r="3" spans="1:5" s="40" customFormat="1" ht="14.25" customHeight="1">
      <c r="A3" s="39">
        <v>45931</v>
      </c>
      <c r="B3" s="30" t="s">
        <v>181</v>
      </c>
      <c r="C3" s="103"/>
      <c r="D3" s="30"/>
      <c r="E3" s="94">
        <f>D3</f>
        <v>0</v>
      </c>
    </row>
    <row r="4" spans="1:5" s="40" customFormat="1" ht="14.25" customHeight="1">
      <c r="A4" s="72">
        <v>45936</v>
      </c>
      <c r="B4" s="32" t="s">
        <v>126</v>
      </c>
      <c r="C4" s="123" t="s">
        <v>183</v>
      </c>
      <c r="D4" s="32">
        <v>200</v>
      </c>
      <c r="E4" s="94">
        <f>D4+E3</f>
        <v>200</v>
      </c>
    </row>
    <row r="5" spans="1:5" s="40" customFormat="1" ht="14.25" customHeight="1">
      <c r="A5" s="72">
        <v>45940</v>
      </c>
      <c r="B5" s="32" t="s">
        <v>68</v>
      </c>
      <c r="C5" s="123" t="s">
        <v>183</v>
      </c>
      <c r="D5" s="32">
        <v>260</v>
      </c>
      <c r="E5" s="94">
        <f>D5+E4</f>
        <v>460</v>
      </c>
    </row>
    <row r="6" spans="1:5" s="40" customFormat="1" ht="14.25" customHeight="1">
      <c r="A6" s="72">
        <v>45940</v>
      </c>
      <c r="B6" s="53" t="s">
        <v>79</v>
      </c>
      <c r="C6" s="124" t="s">
        <v>183</v>
      </c>
      <c r="D6" s="32">
        <v>260</v>
      </c>
      <c r="E6" s="94">
        <f>D6+E5</f>
        <v>720</v>
      </c>
    </row>
    <row r="7" spans="1:5" s="40" customFormat="1" ht="14.25" customHeight="1">
      <c r="A7" s="72">
        <v>45940</v>
      </c>
      <c r="B7" s="32" t="s">
        <v>210</v>
      </c>
      <c r="C7" s="123" t="s">
        <v>183</v>
      </c>
      <c r="D7" s="32">
        <v>260</v>
      </c>
      <c r="E7" s="94">
        <f>D7+E6</f>
        <v>980</v>
      </c>
    </row>
    <row r="8" spans="1:5" ht="14.25" customHeight="1">
      <c r="A8" s="72">
        <v>45941</v>
      </c>
      <c r="B8" s="32" t="s">
        <v>149</v>
      </c>
      <c r="C8" s="123" t="s">
        <v>183</v>
      </c>
      <c r="D8" s="111">
        <v>260</v>
      </c>
      <c r="E8" s="94">
        <f>D8+E7</f>
        <v>1240</v>
      </c>
    </row>
    <row r="9" spans="1:5" ht="14.25" customHeight="1">
      <c r="A9" s="72">
        <v>45945</v>
      </c>
      <c r="B9" s="53" t="s">
        <v>99</v>
      </c>
      <c r="C9" s="123" t="s">
        <v>183</v>
      </c>
      <c r="D9" s="111">
        <v>260</v>
      </c>
      <c r="E9" s="119">
        <f t="shared" ref="E9:E14" si="0">D9+E8</f>
        <v>1500</v>
      </c>
    </row>
    <row r="10" spans="1:5" ht="14.25" customHeight="1">
      <c r="A10" s="72">
        <v>45945</v>
      </c>
      <c r="B10" s="53" t="s">
        <v>72</v>
      </c>
      <c r="C10" s="123" t="s">
        <v>183</v>
      </c>
      <c r="D10" s="81">
        <v>260</v>
      </c>
      <c r="E10" s="120">
        <f t="shared" si="0"/>
        <v>1760</v>
      </c>
    </row>
    <row r="11" spans="1:5" ht="14.25" customHeight="1">
      <c r="A11" s="72">
        <v>45946</v>
      </c>
      <c r="B11" s="53" t="s">
        <v>69</v>
      </c>
      <c r="C11" s="123" t="s">
        <v>183</v>
      </c>
      <c r="D11" s="122">
        <v>260</v>
      </c>
      <c r="E11" s="121">
        <f t="shared" si="0"/>
        <v>2020</v>
      </c>
    </row>
    <row r="12" spans="1:5" ht="14.25" customHeight="1">
      <c r="A12" s="72">
        <v>45946</v>
      </c>
      <c r="B12" s="53" t="s">
        <v>70</v>
      </c>
      <c r="C12" s="123" t="s">
        <v>183</v>
      </c>
      <c r="D12" s="81">
        <v>260</v>
      </c>
      <c r="E12" s="121">
        <f t="shared" si="0"/>
        <v>2280</v>
      </c>
    </row>
    <row r="13" spans="1:5" ht="14.25" customHeight="1">
      <c r="A13" s="72">
        <v>45948</v>
      </c>
      <c r="B13" s="53" t="s">
        <v>148</v>
      </c>
      <c r="C13" s="123" t="s">
        <v>183</v>
      </c>
      <c r="D13" s="81">
        <v>260</v>
      </c>
      <c r="E13" s="121">
        <f t="shared" si="0"/>
        <v>2540</v>
      </c>
    </row>
    <row r="14" spans="1:5" ht="14.25" customHeight="1">
      <c r="A14" s="20"/>
      <c r="B14" s="30" t="s">
        <v>132</v>
      </c>
      <c r="C14" s="123"/>
      <c r="D14" s="81"/>
      <c r="E14" s="58">
        <f t="shared" si="0"/>
        <v>2540</v>
      </c>
    </row>
    <row r="15" spans="1:5" ht="14.25" customHeight="1">
      <c r="A15" s="20"/>
      <c r="B15" s="30" t="s">
        <v>172</v>
      </c>
      <c r="C15" s="115"/>
      <c r="D15" s="81"/>
      <c r="E15" s="58">
        <f>D15+E14</f>
        <v>2540</v>
      </c>
    </row>
    <row r="16" spans="1:5" ht="14.25" customHeight="1">
      <c r="A16" s="20"/>
      <c r="B16" s="30" t="s">
        <v>155</v>
      </c>
      <c r="C16" s="104"/>
      <c r="D16" s="32"/>
      <c r="E16" s="61">
        <f>E15+D16</f>
        <v>2540</v>
      </c>
    </row>
    <row r="17" spans="1:5" ht="14.25" customHeight="1">
      <c r="A17" s="20"/>
      <c r="B17" s="30" t="s">
        <v>154</v>
      </c>
      <c r="C17" s="103"/>
      <c r="D17" s="32"/>
      <c r="E17" s="61">
        <f>E16+D17</f>
        <v>2540</v>
      </c>
    </row>
    <row r="18" spans="1:5" ht="14.25" customHeight="1">
      <c r="A18" s="127">
        <v>45960</v>
      </c>
      <c r="B18" s="30" t="s">
        <v>185</v>
      </c>
      <c r="C18" s="126" t="s">
        <v>183</v>
      </c>
      <c r="D18" s="95">
        <v>-600</v>
      </c>
      <c r="E18" s="61">
        <f>E17+D18</f>
        <v>1940</v>
      </c>
    </row>
    <row r="19" spans="1:5" ht="14.25" customHeight="1">
      <c r="A19" s="127">
        <v>45960</v>
      </c>
      <c r="B19" s="30" t="s">
        <v>186</v>
      </c>
      <c r="C19" s="103" t="s">
        <v>183</v>
      </c>
      <c r="D19" s="95">
        <v>-60</v>
      </c>
      <c r="E19" s="61">
        <f t="shared" ref="E19" si="1">E18+D19</f>
        <v>1880</v>
      </c>
    </row>
    <row r="20" spans="1:5" ht="14.25" customHeight="1">
      <c r="A20" s="72"/>
      <c r="B20" s="30" t="s">
        <v>178</v>
      </c>
      <c r="C20" s="116"/>
      <c r="D20" s="53"/>
      <c r="E20" s="61">
        <f>D20+E19</f>
        <v>1880</v>
      </c>
    </row>
    <row r="21" spans="1:5" ht="14.25" customHeight="1">
      <c r="A21" s="20"/>
      <c r="B21" s="95"/>
      <c r="C21" s="125"/>
      <c r="D21" s="70"/>
      <c r="E21" s="61">
        <f>D21+E20</f>
        <v>1880</v>
      </c>
    </row>
    <row r="22" spans="1:5" ht="14.25" customHeight="1">
      <c r="A22" s="20"/>
      <c r="B22" s="30"/>
      <c r="C22" s="116"/>
      <c r="D22" s="70"/>
      <c r="E22" s="61">
        <f>D22+E21</f>
        <v>1880</v>
      </c>
    </row>
    <row r="23" spans="1:5" ht="14.25" customHeight="1">
      <c r="A23" s="20"/>
      <c r="B23" s="30"/>
      <c r="C23" s="116"/>
      <c r="D23" s="70"/>
      <c r="E23" s="61"/>
    </row>
    <row r="24" spans="1:5" ht="14.25" customHeight="1">
      <c r="A24" s="20"/>
      <c r="B24" s="33"/>
      <c r="C24" s="70"/>
      <c r="D24" s="70"/>
      <c r="E24" s="61"/>
    </row>
    <row r="25" spans="1:5" ht="14.25" customHeight="1">
      <c r="A25" s="154" t="s">
        <v>160</v>
      </c>
      <c r="B25" s="158"/>
      <c r="C25" s="117"/>
      <c r="D25" s="152">
        <v>2540</v>
      </c>
      <c r="E25" s="144"/>
    </row>
    <row r="26" spans="1:5" ht="14.25" customHeight="1">
      <c r="A26" s="143" t="s">
        <v>82</v>
      </c>
      <c r="B26" s="157"/>
      <c r="C26" s="118"/>
      <c r="D26" s="149">
        <v>-660</v>
      </c>
      <c r="E26" s="144"/>
    </row>
    <row r="27" spans="1:5" ht="14.25" customHeight="1">
      <c r="A27" s="143" t="s">
        <v>83</v>
      </c>
      <c r="B27" s="157"/>
      <c r="C27" s="118"/>
      <c r="D27" s="151">
        <f>D26+D25</f>
        <v>1880</v>
      </c>
      <c r="E27" s="144"/>
    </row>
    <row r="28" spans="1:5" ht="14.25" customHeight="1">
      <c r="A28" s="143" t="s">
        <v>84</v>
      </c>
      <c r="B28" s="157"/>
      <c r="C28" s="118"/>
      <c r="D28" s="150">
        <v>1205</v>
      </c>
      <c r="E28" s="144"/>
    </row>
    <row r="29" spans="1:5" ht="14.25" customHeight="1">
      <c r="A29" s="143" t="s">
        <v>85</v>
      </c>
      <c r="B29" s="157"/>
      <c r="C29" s="118"/>
      <c r="D29" s="150">
        <v>602.5</v>
      </c>
      <c r="E29" s="144"/>
    </row>
    <row r="30" spans="1:5" ht="14.25" customHeight="1">
      <c r="A30" s="143" t="s">
        <v>86</v>
      </c>
      <c r="B30" s="157"/>
      <c r="C30" s="118"/>
      <c r="D30" s="150">
        <v>602.5</v>
      </c>
      <c r="E30" s="144"/>
    </row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autoFilter ref="A2:E14" xr:uid="{00000000-0009-0000-0000-000004000000}">
    <sortState xmlns:xlrd2="http://schemas.microsoft.com/office/spreadsheetml/2017/richdata2" ref="A2:E14">
      <sortCondition ref="A2:A14"/>
    </sortState>
  </autoFilter>
  <sortState xmlns:xlrd2="http://schemas.microsoft.com/office/spreadsheetml/2017/richdata2" ref="A4:B13">
    <sortCondition ref="A3:A13"/>
  </sortState>
  <mergeCells count="13">
    <mergeCell ref="A28:B28"/>
    <mergeCell ref="D28:E28"/>
    <mergeCell ref="A29:B29"/>
    <mergeCell ref="D29:E29"/>
    <mergeCell ref="A30:B30"/>
    <mergeCell ref="D30:E30"/>
    <mergeCell ref="A27:B27"/>
    <mergeCell ref="D27:E27"/>
    <mergeCell ref="A1:E1"/>
    <mergeCell ref="A25:B25"/>
    <mergeCell ref="D25:E25"/>
    <mergeCell ref="A26:B26"/>
    <mergeCell ref="D26:E26"/>
  </mergeCells>
  <conditionalFormatting sqref="E2">
    <cfRule type="cellIs" dxfId="17" priority="3" operator="equal">
      <formula>#REF!</formula>
    </cfRule>
  </conditionalFormatting>
  <conditionalFormatting sqref="E2:E10 E14 E16:E24 E31:E933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FED5-5C61-4245-9E41-5581E0902B48}">
  <dimension ref="A1:E933"/>
  <sheetViews>
    <sheetView workbookViewId="0">
      <selection activeCell="B20" sqref="B20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14.44140625" customWidth="1"/>
    <col min="4" max="4" width="7.88671875" customWidth="1"/>
    <col min="5" max="5" width="7.44140625" customWidth="1"/>
    <col min="6" max="27" width="8.88671875" customWidth="1"/>
  </cols>
  <sheetData>
    <row r="1" spans="1:5" ht="14.25" customHeight="1">
      <c r="A1" s="153" t="s">
        <v>170</v>
      </c>
      <c r="B1" s="147"/>
      <c r="C1" s="147"/>
      <c r="D1" s="147"/>
      <c r="E1" s="147"/>
    </row>
    <row r="2" spans="1:5" ht="14.25" customHeight="1">
      <c r="A2" s="15" t="s">
        <v>49</v>
      </c>
      <c r="B2" s="15" t="s">
        <v>50</v>
      </c>
      <c r="C2" s="102" t="s">
        <v>184</v>
      </c>
      <c r="D2" s="15" t="s">
        <v>51</v>
      </c>
      <c r="E2" s="15" t="s">
        <v>52</v>
      </c>
    </row>
    <row r="3" spans="1:5" s="40" customFormat="1" ht="14.25" customHeight="1">
      <c r="A3" s="39">
        <v>45931</v>
      </c>
      <c r="B3" s="30" t="s">
        <v>164</v>
      </c>
      <c r="C3" s="103"/>
      <c r="D3" s="30">
        <v>0</v>
      </c>
      <c r="E3" s="94">
        <f>D3</f>
        <v>0</v>
      </c>
    </row>
    <row r="4" spans="1:5" s="40" customFormat="1" ht="14.25" customHeight="1">
      <c r="A4" s="72">
        <v>45978</v>
      </c>
      <c r="B4" s="53" t="s">
        <v>126</v>
      </c>
      <c r="C4" s="123" t="s">
        <v>183</v>
      </c>
      <c r="D4" s="112">
        <v>200</v>
      </c>
      <c r="E4" s="94">
        <f>D4+E3</f>
        <v>200</v>
      </c>
    </row>
    <row r="5" spans="1:5" s="40" customFormat="1" ht="14.25" customHeight="1">
      <c r="A5" s="72">
        <v>45971</v>
      </c>
      <c r="B5" s="32" t="s">
        <v>68</v>
      </c>
      <c r="C5" s="123" t="s">
        <v>183</v>
      </c>
      <c r="D5" s="32">
        <v>260</v>
      </c>
      <c r="E5" s="94">
        <f>D5+E4</f>
        <v>460</v>
      </c>
    </row>
    <row r="6" spans="1:5" s="40" customFormat="1" ht="14.25" customHeight="1">
      <c r="A6" s="72">
        <v>45970</v>
      </c>
      <c r="B6" s="53" t="s">
        <v>79</v>
      </c>
      <c r="C6" s="124" t="s">
        <v>183</v>
      </c>
      <c r="D6" s="32">
        <v>260</v>
      </c>
      <c r="E6" s="94">
        <f>D6+E5</f>
        <v>720</v>
      </c>
    </row>
    <row r="7" spans="1:5" ht="14.25" customHeight="1">
      <c r="A7" s="72">
        <v>45972</v>
      </c>
      <c r="B7" s="32" t="s">
        <v>149</v>
      </c>
      <c r="C7" s="123" t="s">
        <v>183</v>
      </c>
      <c r="D7" s="111">
        <v>260</v>
      </c>
      <c r="E7" s="94">
        <f>D7+E6</f>
        <v>980</v>
      </c>
    </row>
    <row r="8" spans="1:5" ht="14.25" customHeight="1">
      <c r="A8" s="72">
        <v>45976</v>
      </c>
      <c r="B8" s="53" t="s">
        <v>99</v>
      </c>
      <c r="C8" s="123" t="s">
        <v>183</v>
      </c>
      <c r="D8" s="111">
        <v>260</v>
      </c>
      <c r="E8" s="119">
        <f t="shared" ref="E8:E14" si="0">D8+E7</f>
        <v>1240</v>
      </c>
    </row>
    <row r="9" spans="1:5" ht="14.25" customHeight="1">
      <c r="A9" s="72">
        <v>45976</v>
      </c>
      <c r="B9" s="53" t="s">
        <v>72</v>
      </c>
      <c r="C9" s="123" t="s">
        <v>183</v>
      </c>
      <c r="D9" s="81">
        <v>260</v>
      </c>
      <c r="E9" s="120">
        <f t="shared" si="0"/>
        <v>1500</v>
      </c>
    </row>
    <row r="10" spans="1:5" ht="14.25" customHeight="1">
      <c r="A10" s="72">
        <v>45975</v>
      </c>
      <c r="B10" s="53" t="s">
        <v>69</v>
      </c>
      <c r="C10" s="123" t="s">
        <v>183</v>
      </c>
      <c r="D10" s="122">
        <v>260</v>
      </c>
      <c r="E10" s="128">
        <f>D10+E9</f>
        <v>1760</v>
      </c>
    </row>
    <row r="11" spans="1:5" ht="14.25" customHeight="1">
      <c r="A11" s="72">
        <v>45978</v>
      </c>
      <c r="B11" s="53" t="s">
        <v>70</v>
      </c>
      <c r="C11" s="123" t="s">
        <v>183</v>
      </c>
      <c r="D11" s="81">
        <v>260</v>
      </c>
      <c r="E11" s="128">
        <f>D11+E10</f>
        <v>2020</v>
      </c>
    </row>
    <row r="12" spans="1:5" ht="14.25" customHeight="1">
      <c r="A12" s="20">
        <v>45972</v>
      </c>
      <c r="B12" s="70" t="s">
        <v>149</v>
      </c>
      <c r="C12" s="123" t="s">
        <v>183</v>
      </c>
      <c r="D12" s="101">
        <v>200</v>
      </c>
      <c r="E12" s="121">
        <f t="shared" si="0"/>
        <v>2220</v>
      </c>
    </row>
    <row r="13" spans="1:5" ht="14.25" customHeight="1">
      <c r="A13" s="20">
        <v>45978</v>
      </c>
      <c r="B13" s="70" t="s">
        <v>148</v>
      </c>
      <c r="C13" s="123" t="s">
        <v>183</v>
      </c>
      <c r="D13" s="101">
        <v>260</v>
      </c>
      <c r="E13" s="121">
        <f t="shared" si="0"/>
        <v>2480</v>
      </c>
    </row>
    <row r="14" spans="1:5" ht="14.25" customHeight="1">
      <c r="A14" s="20">
        <v>45980</v>
      </c>
      <c r="B14" s="70" t="s">
        <v>212</v>
      </c>
      <c r="C14" s="123" t="s">
        <v>183</v>
      </c>
      <c r="D14" s="101">
        <v>130</v>
      </c>
      <c r="E14" s="58">
        <f>D14+E13</f>
        <v>2610</v>
      </c>
    </row>
    <row r="15" spans="1:5" ht="14.25" customHeight="1">
      <c r="A15" s="20"/>
      <c r="B15" s="30" t="s">
        <v>172</v>
      </c>
      <c r="C15" s="114"/>
      <c r="D15" s="30"/>
      <c r="E15" s="58">
        <f>D15+E14</f>
        <v>2610</v>
      </c>
    </row>
    <row r="16" spans="1:5" ht="14.25" customHeight="1">
      <c r="A16" s="20"/>
      <c r="B16" s="30" t="s">
        <v>155</v>
      </c>
      <c r="C16" s="104"/>
      <c r="D16" s="32"/>
      <c r="E16" s="61">
        <f>E15+D16</f>
        <v>2610</v>
      </c>
    </row>
    <row r="17" spans="1:5" ht="14.25" customHeight="1">
      <c r="A17" s="20"/>
      <c r="B17" s="30" t="s">
        <v>154</v>
      </c>
      <c r="C17" s="103"/>
      <c r="D17" s="32"/>
      <c r="E17" s="61">
        <f>E16+D17</f>
        <v>2610</v>
      </c>
    </row>
    <row r="18" spans="1:5" ht="14.25" customHeight="1">
      <c r="A18" s="20">
        <v>45981</v>
      </c>
      <c r="B18" s="30" t="s">
        <v>187</v>
      </c>
      <c r="C18" s="103" t="s">
        <v>183</v>
      </c>
      <c r="D18" s="95">
        <v>-1200</v>
      </c>
      <c r="E18" s="61">
        <f>E17+D18</f>
        <v>1410</v>
      </c>
    </row>
    <row r="19" spans="1:5" ht="14.25" customHeight="1">
      <c r="A19" s="20"/>
      <c r="B19" s="30" t="s">
        <v>189</v>
      </c>
      <c r="C19" s="103" t="s">
        <v>183</v>
      </c>
      <c r="D19" s="95">
        <v>-70</v>
      </c>
      <c r="E19" s="61">
        <f t="shared" ref="E19" si="1">E18+D19</f>
        <v>1340</v>
      </c>
    </row>
    <row r="20" spans="1:5" ht="14.25" customHeight="1">
      <c r="A20" s="72"/>
      <c r="B20" s="30" t="s">
        <v>190</v>
      </c>
      <c r="C20" s="129" t="s">
        <v>191</v>
      </c>
      <c r="D20" s="130">
        <v>-600</v>
      </c>
      <c r="E20" s="61">
        <f>D20+E19</f>
        <v>740</v>
      </c>
    </row>
    <row r="21" spans="1:5" ht="14.25" customHeight="1">
      <c r="A21" s="20"/>
      <c r="B21" s="95" t="s">
        <v>177</v>
      </c>
      <c r="C21" s="125"/>
      <c r="D21" s="70"/>
      <c r="E21" s="61">
        <f>D21+E20</f>
        <v>740</v>
      </c>
    </row>
    <row r="22" spans="1:5" ht="14.25" customHeight="1">
      <c r="A22" s="20"/>
      <c r="B22" s="30"/>
      <c r="C22" s="116"/>
      <c r="D22" s="70"/>
      <c r="E22" s="61">
        <f>D22+E21</f>
        <v>740</v>
      </c>
    </row>
    <row r="23" spans="1:5" ht="14.25" customHeight="1">
      <c r="A23" s="20"/>
      <c r="B23" s="30"/>
      <c r="C23" s="116"/>
      <c r="D23" s="70"/>
      <c r="E23" s="61"/>
    </row>
    <row r="24" spans="1:5" ht="14.25" customHeight="1">
      <c r="A24" s="20"/>
      <c r="B24" s="33"/>
      <c r="C24" s="70"/>
      <c r="D24" s="70"/>
      <c r="E24" s="61"/>
    </row>
    <row r="25" spans="1:5" ht="14.25" customHeight="1">
      <c r="A25" s="154" t="s">
        <v>188</v>
      </c>
      <c r="B25" s="158"/>
      <c r="C25" s="117"/>
      <c r="D25" s="152">
        <v>2610</v>
      </c>
      <c r="E25" s="144"/>
    </row>
    <row r="26" spans="1:5" ht="14.25" customHeight="1">
      <c r="A26" s="143" t="s">
        <v>82</v>
      </c>
      <c r="B26" s="157"/>
      <c r="C26" s="118"/>
      <c r="D26" s="149">
        <v>-1870</v>
      </c>
      <c r="E26" s="144"/>
    </row>
    <row r="27" spans="1:5" ht="14.25" customHeight="1">
      <c r="A27" s="143" t="s">
        <v>83</v>
      </c>
      <c r="B27" s="157"/>
      <c r="C27" s="118"/>
      <c r="D27" s="151">
        <f>D26+D25</f>
        <v>740</v>
      </c>
      <c r="E27" s="144"/>
    </row>
    <row r="28" spans="1:5" ht="14.25" customHeight="1">
      <c r="A28" s="143" t="s">
        <v>84</v>
      </c>
      <c r="B28" s="157"/>
      <c r="C28" s="118"/>
      <c r="D28" s="150">
        <v>370</v>
      </c>
      <c r="E28" s="144"/>
    </row>
    <row r="29" spans="1:5" ht="14.25" customHeight="1">
      <c r="A29" s="143" t="s">
        <v>85</v>
      </c>
      <c r="B29" s="157"/>
      <c r="C29" s="118"/>
      <c r="D29" s="150">
        <v>185</v>
      </c>
      <c r="E29" s="144"/>
    </row>
    <row r="30" spans="1:5" ht="14.25" customHeight="1">
      <c r="A30" s="143" t="s">
        <v>86</v>
      </c>
      <c r="B30" s="157"/>
      <c r="C30" s="118"/>
      <c r="D30" s="150">
        <v>185</v>
      </c>
      <c r="E30" s="144"/>
    </row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autoFilter ref="A2:E14" xr:uid="{00000000-0009-0000-0000-000004000000}">
    <sortState xmlns:xlrd2="http://schemas.microsoft.com/office/spreadsheetml/2017/richdata2" ref="A2:E14">
      <sortCondition ref="A2:A14"/>
    </sortState>
  </autoFilter>
  <mergeCells count="13">
    <mergeCell ref="A28:B28"/>
    <mergeCell ref="D28:E28"/>
    <mergeCell ref="A29:B29"/>
    <mergeCell ref="D29:E29"/>
    <mergeCell ref="A30:B30"/>
    <mergeCell ref="D30:E30"/>
    <mergeCell ref="A27:B27"/>
    <mergeCell ref="D27:E27"/>
    <mergeCell ref="A1:E1"/>
    <mergeCell ref="A25:B25"/>
    <mergeCell ref="D25:E25"/>
    <mergeCell ref="A26:B26"/>
    <mergeCell ref="D26:E26"/>
  </mergeCells>
  <conditionalFormatting sqref="E2">
    <cfRule type="cellIs" dxfId="14" priority="3" operator="equal">
      <formula>#REF!</formula>
    </cfRule>
  </conditionalFormatting>
  <conditionalFormatting sqref="E2:E11 E14 E16:E24 E31:E933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511811024" right="0.511811024" top="0.78740157499999996" bottom="0.78740157499999996" header="0" footer="0"/>
  <pageSetup orientation="landscape"/>
  <ignoredErrors>
    <ignoredError sqref="E20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93BC-281A-4005-AA95-9530D400D357}">
  <dimension ref="A1:E934"/>
  <sheetViews>
    <sheetView workbookViewId="0">
      <selection activeCell="B20" sqref="B20"/>
    </sheetView>
  </sheetViews>
  <sheetFormatPr defaultColWidth="14.44140625" defaultRowHeight="15" customHeight="1"/>
  <cols>
    <col min="1" max="1" width="12" customWidth="1"/>
    <col min="2" max="2" width="48.33203125" customWidth="1"/>
    <col min="3" max="3" width="11.88671875" customWidth="1"/>
    <col min="4" max="4" width="7.88671875" customWidth="1"/>
    <col min="5" max="5" width="7.44140625" customWidth="1"/>
    <col min="6" max="27" width="8.88671875" customWidth="1"/>
  </cols>
  <sheetData>
    <row r="1" spans="1:5" ht="14.25" customHeight="1">
      <c r="A1" s="153" t="s">
        <v>171</v>
      </c>
      <c r="B1" s="147"/>
      <c r="C1" s="147"/>
      <c r="D1" s="147"/>
      <c r="E1" s="147"/>
    </row>
    <row r="2" spans="1:5" ht="14.25" customHeight="1">
      <c r="A2" s="15" t="s">
        <v>49</v>
      </c>
      <c r="B2" s="15" t="s">
        <v>50</v>
      </c>
      <c r="C2" s="113" t="s">
        <v>182</v>
      </c>
      <c r="D2" s="15" t="s">
        <v>51</v>
      </c>
      <c r="E2" s="15" t="s">
        <v>52</v>
      </c>
    </row>
    <row r="3" spans="1:5" s="40" customFormat="1" ht="14.25" customHeight="1">
      <c r="A3" s="20">
        <v>45987</v>
      </c>
      <c r="B3" s="53" t="s">
        <v>149</v>
      </c>
      <c r="C3" s="115" t="s">
        <v>183</v>
      </c>
      <c r="D3" s="101">
        <v>200</v>
      </c>
      <c r="E3" s="94">
        <f>D3</f>
        <v>200</v>
      </c>
    </row>
    <row r="4" spans="1:5" ht="14.25" customHeight="1">
      <c r="A4" s="39">
        <v>45992</v>
      </c>
      <c r="B4" s="85" t="s">
        <v>194</v>
      </c>
      <c r="C4" s="103" t="s">
        <v>195</v>
      </c>
      <c r="D4" s="35">
        <v>0</v>
      </c>
      <c r="E4" s="24">
        <f>D4</f>
        <v>0</v>
      </c>
    </row>
    <row r="5" spans="1:5" ht="14.25" customHeight="1">
      <c r="A5" s="72">
        <v>46001</v>
      </c>
      <c r="B5" s="32" t="s">
        <v>126</v>
      </c>
      <c r="C5" s="123" t="s">
        <v>183</v>
      </c>
      <c r="D5" s="32">
        <v>320</v>
      </c>
      <c r="E5" s="56">
        <f t="shared" ref="E5:E6" si="0">D5+E4</f>
        <v>320</v>
      </c>
    </row>
    <row r="6" spans="1:5" ht="14.25" customHeight="1">
      <c r="A6" s="72">
        <v>46001</v>
      </c>
      <c r="B6" s="53" t="s">
        <v>79</v>
      </c>
      <c r="C6" s="124" t="s">
        <v>183</v>
      </c>
      <c r="D6" s="32">
        <v>260</v>
      </c>
      <c r="E6" s="57">
        <f t="shared" si="0"/>
        <v>580</v>
      </c>
    </row>
    <row r="7" spans="1:5" ht="14.25" customHeight="1">
      <c r="A7" s="72">
        <v>46002</v>
      </c>
      <c r="B7" s="53" t="s">
        <v>68</v>
      </c>
      <c r="C7" s="123" t="s">
        <v>183</v>
      </c>
      <c r="D7" s="111">
        <v>260</v>
      </c>
      <c r="E7" s="59">
        <f t="shared" ref="E7:E15" si="1">D7+E6</f>
        <v>840</v>
      </c>
    </row>
    <row r="8" spans="1:5" ht="14.25" customHeight="1">
      <c r="A8" s="132">
        <v>46004</v>
      </c>
      <c r="B8" s="70" t="s">
        <v>69</v>
      </c>
      <c r="C8" s="104" t="s">
        <v>183</v>
      </c>
      <c r="D8" s="75">
        <v>260</v>
      </c>
      <c r="E8" s="61">
        <f t="shared" si="1"/>
        <v>1100</v>
      </c>
    </row>
    <row r="9" spans="1:5" ht="14.25" customHeight="1">
      <c r="A9" s="72">
        <v>46006</v>
      </c>
      <c r="B9" s="53" t="s">
        <v>99</v>
      </c>
      <c r="C9" s="123" t="s">
        <v>183</v>
      </c>
      <c r="D9" s="112">
        <v>260</v>
      </c>
      <c r="E9" s="61">
        <f>D9+E8</f>
        <v>1360</v>
      </c>
    </row>
    <row r="10" spans="1:5" ht="14.25" customHeight="1">
      <c r="A10" s="72">
        <v>46006</v>
      </c>
      <c r="B10" s="32" t="s">
        <v>72</v>
      </c>
      <c r="C10" s="123" t="s">
        <v>183</v>
      </c>
      <c r="D10" s="32">
        <v>260</v>
      </c>
      <c r="E10" s="61">
        <f t="shared" si="1"/>
        <v>1620</v>
      </c>
    </row>
    <row r="11" spans="1:5" ht="14.25" customHeight="1">
      <c r="A11" s="20">
        <v>46007</v>
      </c>
      <c r="B11" s="33" t="s">
        <v>148</v>
      </c>
      <c r="C11" s="123" t="s">
        <v>183</v>
      </c>
      <c r="D11" s="33">
        <v>260</v>
      </c>
      <c r="E11" s="61">
        <f t="shared" si="1"/>
        <v>1880</v>
      </c>
    </row>
    <row r="12" spans="1:5" ht="14.25" customHeight="1">
      <c r="A12" s="72">
        <v>46009</v>
      </c>
      <c r="B12" s="53" t="s">
        <v>70</v>
      </c>
      <c r="C12" s="123" t="s">
        <v>183</v>
      </c>
      <c r="D12" s="32">
        <v>260</v>
      </c>
      <c r="E12" s="61">
        <f t="shared" si="1"/>
        <v>2140</v>
      </c>
    </row>
    <row r="13" spans="1:5" ht="14.25" customHeight="1">
      <c r="A13" s="72">
        <v>46009</v>
      </c>
      <c r="B13" s="131" t="s">
        <v>196</v>
      </c>
      <c r="C13" s="123" t="s">
        <v>183</v>
      </c>
      <c r="D13" s="95">
        <v>-50</v>
      </c>
      <c r="E13" s="61">
        <f t="shared" si="1"/>
        <v>2090</v>
      </c>
    </row>
    <row r="14" spans="1:5" ht="14.25" customHeight="1">
      <c r="A14" s="133">
        <v>46014</v>
      </c>
      <c r="B14" s="95" t="s">
        <v>199</v>
      </c>
      <c r="C14" s="116" t="s">
        <v>183</v>
      </c>
      <c r="D14" s="131">
        <v>-800</v>
      </c>
      <c r="E14" s="61">
        <f t="shared" si="1"/>
        <v>1290</v>
      </c>
    </row>
    <row r="15" spans="1:5" ht="14.25" customHeight="1">
      <c r="A15" s="133">
        <v>46003</v>
      </c>
      <c r="B15" s="131" t="s">
        <v>197</v>
      </c>
      <c r="C15" s="135" t="s">
        <v>183</v>
      </c>
      <c r="D15" s="134">
        <v>-70</v>
      </c>
      <c r="E15" s="61">
        <f t="shared" si="1"/>
        <v>1220</v>
      </c>
    </row>
    <row r="16" spans="1:5" ht="14.25" customHeight="1">
      <c r="A16" s="133">
        <v>46011</v>
      </c>
      <c r="B16" s="95" t="s">
        <v>208</v>
      </c>
      <c r="C16" s="135" t="s">
        <v>183</v>
      </c>
      <c r="D16" s="131">
        <v>-600</v>
      </c>
      <c r="E16" s="61">
        <f>D16+E15</f>
        <v>620</v>
      </c>
    </row>
    <row r="17" spans="1:5" ht="14.25" customHeight="1">
      <c r="A17" s="133"/>
      <c r="B17" s="95"/>
      <c r="C17" s="125"/>
      <c r="D17" s="131"/>
      <c r="E17" s="61"/>
    </row>
    <row r="18" spans="1:5" ht="14.25" customHeight="1">
      <c r="A18" s="20"/>
      <c r="B18" s="95" t="s">
        <v>172</v>
      </c>
      <c r="C18" s="85"/>
      <c r="D18" s="70"/>
      <c r="E18" s="61"/>
    </row>
    <row r="19" spans="1:5" ht="14.25" customHeight="1">
      <c r="A19" s="20"/>
      <c r="B19" s="95" t="s">
        <v>155</v>
      </c>
      <c r="C19" s="85"/>
      <c r="D19" s="70"/>
      <c r="E19" s="61"/>
    </row>
    <row r="20" spans="1:5" ht="14.25" customHeight="1">
      <c r="A20" s="20"/>
      <c r="B20" s="95" t="s">
        <v>154</v>
      </c>
      <c r="C20" s="85"/>
      <c r="D20" s="70"/>
      <c r="E20" s="61"/>
    </row>
    <row r="21" spans="1:5" ht="14.25" customHeight="1">
      <c r="A21" s="20"/>
      <c r="B21" s="131" t="s">
        <v>74</v>
      </c>
      <c r="C21" s="85"/>
      <c r="D21" s="70"/>
      <c r="E21" s="61"/>
    </row>
    <row r="22" spans="1:5" ht="14.25" customHeight="1">
      <c r="A22" s="20"/>
      <c r="B22" s="95" t="s">
        <v>149</v>
      </c>
      <c r="C22" s="116"/>
      <c r="D22" s="131"/>
      <c r="E22" s="61"/>
    </row>
    <row r="23" spans="1:5" ht="14.25" customHeight="1">
      <c r="A23" s="20"/>
      <c r="B23" s="95" t="s">
        <v>177</v>
      </c>
      <c r="C23" s="116"/>
      <c r="D23" s="131"/>
      <c r="E23" s="61"/>
    </row>
    <row r="24" spans="1:5" ht="14.25" customHeight="1">
      <c r="A24" s="20"/>
      <c r="B24" s="95" t="s">
        <v>132</v>
      </c>
      <c r="C24" s="116"/>
      <c r="D24" s="131"/>
      <c r="E24" s="61"/>
    </row>
    <row r="25" spans="1:5" ht="14.25" customHeight="1">
      <c r="A25" s="20"/>
      <c r="B25" s="95"/>
      <c r="C25" s="70"/>
      <c r="D25" s="70"/>
      <c r="E25" s="61"/>
    </row>
    <row r="26" spans="1:5" ht="14.25" customHeight="1">
      <c r="A26" s="154" t="s">
        <v>198</v>
      </c>
      <c r="B26" s="144"/>
      <c r="C26" s="100"/>
      <c r="D26" s="152">
        <v>2140</v>
      </c>
      <c r="E26" s="144"/>
    </row>
    <row r="27" spans="1:5" ht="14.25" customHeight="1">
      <c r="A27" s="143" t="s">
        <v>82</v>
      </c>
      <c r="B27" s="144"/>
      <c r="C27" s="100"/>
      <c r="D27" s="149">
        <v>-1520</v>
      </c>
      <c r="E27" s="144"/>
    </row>
    <row r="28" spans="1:5" ht="14.25" customHeight="1">
      <c r="A28" s="143" t="s">
        <v>83</v>
      </c>
      <c r="B28" s="144"/>
      <c r="C28" s="100"/>
      <c r="D28" s="151">
        <f>D27+D26</f>
        <v>620</v>
      </c>
      <c r="E28" s="144"/>
    </row>
    <row r="29" spans="1:5" ht="14.25" customHeight="1">
      <c r="A29" s="143" t="s">
        <v>84</v>
      </c>
      <c r="B29" s="144"/>
      <c r="C29" s="100"/>
      <c r="D29" s="150">
        <v>310</v>
      </c>
      <c r="E29" s="144"/>
    </row>
    <row r="30" spans="1:5" ht="14.25" customHeight="1">
      <c r="A30" s="143" t="s">
        <v>85</v>
      </c>
      <c r="B30" s="144"/>
      <c r="C30" s="100"/>
      <c r="D30" s="150">
        <v>155</v>
      </c>
      <c r="E30" s="144"/>
    </row>
    <row r="31" spans="1:5" ht="14.25" customHeight="1">
      <c r="A31" s="143" t="s">
        <v>86</v>
      </c>
      <c r="B31" s="144"/>
      <c r="C31" s="100"/>
      <c r="D31" s="150">
        <v>155</v>
      </c>
      <c r="E31" s="144"/>
    </row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</sheetData>
  <autoFilter ref="A2:E8" xr:uid="{00000000-0009-0000-0000-000004000000}">
    <sortState xmlns:xlrd2="http://schemas.microsoft.com/office/spreadsheetml/2017/richdata2" ref="A2:E8">
      <sortCondition ref="A2:A8"/>
    </sortState>
  </autoFilter>
  <sortState xmlns:xlrd2="http://schemas.microsoft.com/office/spreadsheetml/2017/richdata2" ref="A3:D20">
    <sortCondition ref="A3:A20"/>
  </sortState>
  <mergeCells count="13">
    <mergeCell ref="A29:B29"/>
    <mergeCell ref="D29:E29"/>
    <mergeCell ref="A30:B30"/>
    <mergeCell ref="D30:E30"/>
    <mergeCell ref="A31:B31"/>
    <mergeCell ref="D31:E31"/>
    <mergeCell ref="A28:B28"/>
    <mergeCell ref="D28:E28"/>
    <mergeCell ref="A1:E1"/>
    <mergeCell ref="A26:B26"/>
    <mergeCell ref="D26:E26"/>
    <mergeCell ref="A27:B27"/>
    <mergeCell ref="D27:E27"/>
  </mergeCells>
  <conditionalFormatting sqref="E2">
    <cfRule type="cellIs" dxfId="11" priority="3" operator="equal">
      <formula>#REF!</formula>
    </cfRule>
  </conditionalFormatting>
  <conditionalFormatting sqref="E2:E6 E8:E25 E32:E934">
    <cfRule type="cellIs" dxfId="10" priority="1" operator="lessThan">
      <formula>0</formula>
    </cfRule>
    <cfRule type="cellIs" dxfId="9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FCCA-93F4-4DAE-AC21-A709F1F2E78B}">
  <dimension ref="A1:E932"/>
  <sheetViews>
    <sheetView workbookViewId="0">
      <selection activeCell="D27" sqref="D27:E27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11.88671875" customWidth="1"/>
    <col min="4" max="4" width="7.88671875" customWidth="1"/>
    <col min="5" max="5" width="7.44140625" customWidth="1"/>
    <col min="6" max="27" width="8.88671875" customWidth="1"/>
  </cols>
  <sheetData>
    <row r="1" spans="1:5" ht="14.25" customHeight="1">
      <c r="A1" s="153" t="s">
        <v>200</v>
      </c>
      <c r="B1" s="147"/>
      <c r="C1" s="147"/>
      <c r="D1" s="147"/>
      <c r="E1" s="147"/>
    </row>
    <row r="2" spans="1:5" ht="14.25" customHeight="1">
      <c r="A2" s="15" t="s">
        <v>49</v>
      </c>
      <c r="B2" s="15" t="s">
        <v>50</v>
      </c>
      <c r="C2" s="113" t="s">
        <v>182</v>
      </c>
      <c r="D2" s="15" t="s">
        <v>51</v>
      </c>
      <c r="E2" s="15" t="s">
        <v>52</v>
      </c>
    </row>
    <row r="3" spans="1:5" ht="14.25" customHeight="1">
      <c r="A3" s="39">
        <v>45992</v>
      </c>
      <c r="B3" s="85" t="s">
        <v>201</v>
      </c>
      <c r="C3" s="103" t="s">
        <v>195</v>
      </c>
      <c r="D3" s="35">
        <v>0</v>
      </c>
      <c r="E3" s="24">
        <f>D3</f>
        <v>0</v>
      </c>
    </row>
    <row r="4" spans="1:5" ht="14.25" customHeight="1">
      <c r="A4" s="72">
        <v>46023</v>
      </c>
      <c r="B4" s="32" t="s">
        <v>126</v>
      </c>
      <c r="C4" s="123" t="s">
        <v>183</v>
      </c>
      <c r="D4" s="32">
        <v>320</v>
      </c>
      <c r="E4" s="56">
        <f t="shared" ref="E4:E8" si="0">D4+E3</f>
        <v>320</v>
      </c>
    </row>
    <row r="5" spans="1:5" ht="14.25" customHeight="1">
      <c r="A5" s="72">
        <v>46027</v>
      </c>
      <c r="B5" s="53" t="s">
        <v>79</v>
      </c>
      <c r="C5" s="124" t="s">
        <v>183</v>
      </c>
      <c r="D5" s="32">
        <v>260</v>
      </c>
      <c r="E5" s="57">
        <f t="shared" si="0"/>
        <v>580</v>
      </c>
    </row>
    <row r="6" spans="1:5" ht="14.25" customHeight="1">
      <c r="A6" s="132">
        <v>46035</v>
      </c>
      <c r="B6" s="70" t="s">
        <v>69</v>
      </c>
      <c r="C6" s="104" t="s">
        <v>183</v>
      </c>
      <c r="D6" s="75">
        <v>260</v>
      </c>
      <c r="E6" s="61">
        <f>D6+E5</f>
        <v>840</v>
      </c>
    </row>
    <row r="7" spans="1:5" ht="14.25" customHeight="1">
      <c r="A7" s="72">
        <v>46040</v>
      </c>
      <c r="B7" s="53" t="s">
        <v>99</v>
      </c>
      <c r="C7" s="123" t="s">
        <v>183</v>
      </c>
      <c r="D7" s="112">
        <v>260</v>
      </c>
      <c r="E7" s="61">
        <f>D7+E6</f>
        <v>1100</v>
      </c>
    </row>
    <row r="8" spans="1:5" ht="14.25" customHeight="1">
      <c r="A8" s="72">
        <v>46037</v>
      </c>
      <c r="B8" s="32" t="s">
        <v>72</v>
      </c>
      <c r="C8" s="123" t="s">
        <v>183</v>
      </c>
      <c r="D8" s="32">
        <v>260</v>
      </c>
      <c r="E8" s="61">
        <f t="shared" si="0"/>
        <v>1360</v>
      </c>
    </row>
    <row r="9" spans="1:5" ht="14.25" customHeight="1">
      <c r="A9" s="72">
        <v>46039</v>
      </c>
      <c r="B9" s="53" t="s">
        <v>70</v>
      </c>
      <c r="C9" s="123" t="s">
        <v>183</v>
      </c>
      <c r="D9" s="32">
        <v>260</v>
      </c>
      <c r="E9" s="61">
        <f>D9+E8</f>
        <v>1620</v>
      </c>
    </row>
    <row r="10" spans="1:5" ht="14.25" customHeight="1">
      <c r="A10" s="72"/>
      <c r="B10" s="131" t="s">
        <v>68</v>
      </c>
      <c r="C10" s="123"/>
      <c r="D10" s="70"/>
      <c r="E10" s="61">
        <f>D10+E9</f>
        <v>1620</v>
      </c>
    </row>
    <row r="11" spans="1:5" ht="14.25" customHeight="1">
      <c r="A11" s="72"/>
      <c r="B11" s="30" t="s">
        <v>148</v>
      </c>
      <c r="C11" s="85"/>
      <c r="D11" s="70"/>
      <c r="E11" s="61"/>
    </row>
    <row r="12" spans="1:5" ht="14.25" customHeight="1">
      <c r="A12" s="20"/>
      <c r="B12" s="95" t="s">
        <v>172</v>
      </c>
      <c r="C12" s="85"/>
      <c r="D12" s="70"/>
      <c r="E12" s="61"/>
    </row>
    <row r="13" spans="1:5" ht="14.25" customHeight="1">
      <c r="A13" s="20"/>
      <c r="B13" s="95" t="s">
        <v>155</v>
      </c>
      <c r="C13" s="85"/>
      <c r="D13" s="70"/>
      <c r="E13" s="61"/>
    </row>
    <row r="14" spans="1:5" ht="14.25" customHeight="1">
      <c r="A14" s="20"/>
      <c r="B14" s="95" t="s">
        <v>154</v>
      </c>
      <c r="C14" s="85"/>
      <c r="D14" s="70"/>
      <c r="E14" s="61"/>
    </row>
    <row r="15" spans="1:5" ht="14.25" customHeight="1">
      <c r="A15" s="20"/>
      <c r="B15" s="131" t="s">
        <v>74</v>
      </c>
      <c r="C15" s="85"/>
      <c r="D15" s="70"/>
      <c r="E15" s="61"/>
    </row>
    <row r="16" spans="1:5" ht="14.25" customHeight="1">
      <c r="A16" s="20"/>
      <c r="B16" s="95" t="s">
        <v>149</v>
      </c>
      <c r="C16" s="85"/>
      <c r="D16" s="70"/>
      <c r="E16" s="61"/>
    </row>
    <row r="17" spans="1:5" ht="14.25" customHeight="1">
      <c r="A17" s="20"/>
      <c r="B17" s="95" t="s">
        <v>177</v>
      </c>
      <c r="C17" s="85"/>
      <c r="D17" s="70"/>
      <c r="E17" s="61"/>
    </row>
    <row r="18" spans="1:5" ht="14.25" customHeight="1">
      <c r="A18" s="20"/>
      <c r="B18" s="95" t="s">
        <v>132</v>
      </c>
      <c r="C18" s="85"/>
      <c r="D18" s="70"/>
      <c r="E18" s="61"/>
    </row>
    <row r="19" spans="1:5" ht="14.25" customHeight="1">
      <c r="A19" s="20"/>
      <c r="B19" s="131"/>
      <c r="C19" s="85"/>
      <c r="D19" s="70"/>
      <c r="E19" s="61"/>
    </row>
    <row r="20" spans="1:5" ht="14.25" customHeight="1">
      <c r="A20" s="20"/>
      <c r="B20" s="95"/>
      <c r="C20" s="116"/>
      <c r="D20" s="131"/>
      <c r="E20" s="61"/>
    </row>
    <row r="21" spans="1:5" ht="14.25" customHeight="1">
      <c r="A21" s="20"/>
      <c r="B21" s="95"/>
      <c r="C21" s="116"/>
      <c r="D21" s="131"/>
      <c r="E21" s="61"/>
    </row>
    <row r="22" spans="1:5" ht="14.25" customHeight="1">
      <c r="A22" s="20"/>
      <c r="B22" s="95"/>
      <c r="C22" s="116"/>
      <c r="D22" s="131"/>
      <c r="E22" s="61"/>
    </row>
    <row r="23" spans="1:5" ht="14.25" customHeight="1">
      <c r="A23" s="20"/>
      <c r="B23" s="85"/>
      <c r="C23" s="70"/>
      <c r="D23" s="70"/>
      <c r="E23" s="61"/>
    </row>
    <row r="24" spans="1:5" ht="14.25" customHeight="1">
      <c r="A24" s="154" t="s">
        <v>202</v>
      </c>
      <c r="B24" s="144"/>
      <c r="C24" s="100"/>
      <c r="D24" s="152">
        <v>1820</v>
      </c>
      <c r="E24" s="144"/>
    </row>
    <row r="25" spans="1:5" ht="14.25" customHeight="1">
      <c r="A25" s="143" t="s">
        <v>82</v>
      </c>
      <c r="B25" s="144"/>
      <c r="C25" s="100"/>
      <c r="D25" s="149">
        <v>0</v>
      </c>
      <c r="E25" s="144"/>
    </row>
    <row r="26" spans="1:5" ht="14.25" customHeight="1">
      <c r="A26" s="143" t="s">
        <v>83</v>
      </c>
      <c r="B26" s="144"/>
      <c r="C26" s="100"/>
      <c r="D26" s="151">
        <f>D25+D24</f>
        <v>1820</v>
      </c>
      <c r="E26" s="144"/>
    </row>
    <row r="27" spans="1:5" ht="14.25" customHeight="1">
      <c r="A27" s="143" t="s">
        <v>84</v>
      </c>
      <c r="B27" s="144"/>
      <c r="C27" s="100"/>
      <c r="D27" s="150"/>
      <c r="E27" s="144"/>
    </row>
    <row r="28" spans="1:5" ht="14.25" customHeight="1">
      <c r="A28" s="143" t="s">
        <v>85</v>
      </c>
      <c r="B28" s="144"/>
      <c r="C28" s="100"/>
      <c r="D28" s="150"/>
      <c r="E28" s="144"/>
    </row>
    <row r="29" spans="1:5" ht="14.25" customHeight="1">
      <c r="A29" s="143" t="s">
        <v>86</v>
      </c>
      <c r="B29" s="144"/>
      <c r="C29" s="100"/>
      <c r="D29" s="150"/>
      <c r="E29" s="144"/>
    </row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</sheetData>
  <autoFilter ref="A2:E6" xr:uid="{00000000-0009-0000-0000-000004000000}">
    <sortState xmlns:xlrd2="http://schemas.microsoft.com/office/spreadsheetml/2017/richdata2" ref="A2:E6">
      <sortCondition ref="A2:A6"/>
    </sortState>
  </autoFilter>
  <mergeCells count="13">
    <mergeCell ref="A27:B27"/>
    <mergeCell ref="D27:E27"/>
    <mergeCell ref="A28:B28"/>
    <mergeCell ref="D28:E28"/>
    <mergeCell ref="A29:B29"/>
    <mergeCell ref="D29:E29"/>
    <mergeCell ref="A1:E1"/>
    <mergeCell ref="A24:B24"/>
    <mergeCell ref="D24:E24"/>
    <mergeCell ref="A25:B25"/>
    <mergeCell ref="D25:E25"/>
    <mergeCell ref="A26:B26"/>
    <mergeCell ref="D26:E26"/>
  </mergeCells>
  <conditionalFormatting sqref="E2">
    <cfRule type="cellIs" dxfId="8" priority="3" operator="equal">
      <formula>#REF!</formula>
    </cfRule>
  </conditionalFormatting>
  <conditionalFormatting sqref="E30:E932 E2:E23">
    <cfRule type="cellIs" dxfId="7" priority="1" operator="lessThan">
      <formula>0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5F2C-E696-4569-83E0-11FA1A6EB4C0}">
  <dimension ref="A1:D1017"/>
  <sheetViews>
    <sheetView workbookViewId="0">
      <selection activeCell="A2" sqref="A2"/>
    </sheetView>
  </sheetViews>
  <sheetFormatPr defaultColWidth="14.44140625" defaultRowHeight="15" customHeight="1"/>
  <cols>
    <col min="1" max="1" width="12" customWidth="1"/>
    <col min="2" max="2" width="33.44140625" customWidth="1"/>
    <col min="3" max="3" width="7.88671875" customWidth="1"/>
    <col min="4" max="4" width="7.44140625" customWidth="1"/>
    <col min="5" max="26" width="8.88671875" customWidth="1"/>
  </cols>
  <sheetData>
    <row r="1" spans="1:4" ht="14.25" customHeight="1">
      <c r="A1" s="15" t="s">
        <v>49</v>
      </c>
      <c r="B1" s="15" t="s">
        <v>50</v>
      </c>
      <c r="C1" s="15" t="s">
        <v>51</v>
      </c>
      <c r="D1" s="15" t="s">
        <v>52</v>
      </c>
    </row>
    <row r="2" spans="1:4" ht="14.25" customHeight="1">
      <c r="A2" s="16"/>
      <c r="B2" s="17"/>
      <c r="C2" s="17"/>
      <c r="D2" s="17">
        <f>C2</f>
        <v>0</v>
      </c>
    </row>
    <row r="3" spans="1:4" ht="14.25" customHeight="1">
      <c r="A3" s="16"/>
      <c r="B3" s="17"/>
      <c r="C3" s="17"/>
      <c r="D3" s="17">
        <f>D2+C3</f>
        <v>0</v>
      </c>
    </row>
    <row r="4" spans="1:4" ht="14.25" customHeight="1">
      <c r="A4" s="16"/>
      <c r="B4" s="17"/>
      <c r="C4" s="17"/>
      <c r="D4" s="17">
        <f t="shared" ref="D4:D8" si="0">C4+D3</f>
        <v>0</v>
      </c>
    </row>
    <row r="5" spans="1:4" ht="14.25" customHeight="1">
      <c r="A5" s="16"/>
      <c r="B5" s="17"/>
      <c r="C5" s="17"/>
      <c r="D5" s="17">
        <f t="shared" si="0"/>
        <v>0</v>
      </c>
    </row>
    <row r="6" spans="1:4" ht="14.25" customHeight="1">
      <c r="A6" s="16"/>
      <c r="B6" s="17"/>
      <c r="C6" s="17"/>
      <c r="D6" s="17">
        <f t="shared" si="0"/>
        <v>0</v>
      </c>
    </row>
    <row r="7" spans="1:4" ht="14.25" customHeight="1">
      <c r="A7" s="16"/>
      <c r="B7" s="17"/>
      <c r="C7" s="17"/>
      <c r="D7" s="17">
        <f t="shared" si="0"/>
        <v>0</v>
      </c>
    </row>
    <row r="8" spans="1:4" ht="14.25" customHeight="1">
      <c r="A8" s="16"/>
      <c r="B8" s="17"/>
      <c r="C8" s="17"/>
      <c r="D8" s="17">
        <f t="shared" si="0"/>
        <v>0</v>
      </c>
    </row>
    <row r="9" spans="1:4" ht="14.25" customHeight="1">
      <c r="A9" s="18"/>
      <c r="B9" s="17"/>
      <c r="C9" s="19"/>
      <c r="D9" s="17">
        <f>D8+C9</f>
        <v>0</v>
      </c>
    </row>
    <row r="10" spans="1:4" ht="14.25" customHeight="1">
      <c r="A10" s="18"/>
      <c r="B10" s="17"/>
      <c r="C10" s="19"/>
      <c r="D10" s="17">
        <f t="shared" ref="D10:D12" si="1">C10+D9</f>
        <v>0</v>
      </c>
    </row>
    <row r="11" spans="1:4" ht="14.25" customHeight="1">
      <c r="A11" s="16"/>
      <c r="B11" s="17"/>
      <c r="C11" s="17"/>
      <c r="D11" s="17">
        <f t="shared" si="1"/>
        <v>0</v>
      </c>
    </row>
    <row r="12" spans="1:4" ht="14.25" customHeight="1">
      <c r="A12" s="16"/>
      <c r="B12" s="17"/>
      <c r="C12" s="17"/>
      <c r="D12" s="17">
        <f t="shared" si="1"/>
        <v>0</v>
      </c>
    </row>
    <row r="13" spans="1:4" ht="14.25" customHeight="1">
      <c r="A13" s="20"/>
      <c r="B13" s="17"/>
      <c r="C13" s="21"/>
      <c r="D13" s="17">
        <f>D12+C13</f>
        <v>0</v>
      </c>
    </row>
    <row r="14" spans="1:4" ht="14.25" customHeight="1">
      <c r="A14" s="20"/>
      <c r="B14" s="17"/>
      <c r="C14" s="17"/>
      <c r="D14" s="17">
        <f>C14+D13</f>
        <v>0</v>
      </c>
    </row>
    <row r="15" spans="1:4" ht="14.25" customHeight="1">
      <c r="A15" s="20"/>
      <c r="B15" s="17"/>
      <c r="C15" s="17"/>
      <c r="D15" s="17">
        <f t="shared" ref="D15:D23" si="2">D14+C15</f>
        <v>0</v>
      </c>
    </row>
    <row r="16" spans="1:4" ht="14.25" customHeight="1">
      <c r="A16" s="20"/>
      <c r="B16" s="17"/>
      <c r="C16" s="17"/>
      <c r="D16" s="17">
        <f t="shared" si="2"/>
        <v>0</v>
      </c>
    </row>
    <row r="17" spans="1:4" ht="14.25" customHeight="1">
      <c r="A17" s="20"/>
      <c r="B17" s="17"/>
      <c r="C17" s="17"/>
      <c r="D17" s="17">
        <f t="shared" si="2"/>
        <v>0</v>
      </c>
    </row>
    <row r="18" spans="1:4" ht="14.25" customHeight="1">
      <c r="A18" s="20"/>
      <c r="B18" s="17"/>
      <c r="C18" s="17"/>
      <c r="D18" s="17">
        <f t="shared" si="2"/>
        <v>0</v>
      </c>
    </row>
    <row r="19" spans="1:4" ht="14.25" customHeight="1">
      <c r="A19" s="20"/>
      <c r="B19" s="17"/>
      <c r="C19" s="17"/>
      <c r="D19" s="17">
        <f t="shared" si="2"/>
        <v>0</v>
      </c>
    </row>
    <row r="20" spans="1:4" ht="14.25" customHeight="1">
      <c r="A20" s="20"/>
      <c r="B20" s="17"/>
      <c r="C20" s="17"/>
      <c r="D20" s="17">
        <f t="shared" si="2"/>
        <v>0</v>
      </c>
    </row>
    <row r="21" spans="1:4" ht="14.25" customHeight="1">
      <c r="A21" s="20"/>
      <c r="B21" s="17"/>
      <c r="C21" s="17"/>
      <c r="D21" s="17">
        <f t="shared" si="2"/>
        <v>0</v>
      </c>
    </row>
    <row r="22" spans="1:4" ht="14.25" customHeight="1">
      <c r="A22" s="20"/>
      <c r="B22" s="17"/>
      <c r="C22" s="17"/>
      <c r="D22" s="17">
        <f t="shared" si="2"/>
        <v>0</v>
      </c>
    </row>
    <row r="23" spans="1:4" ht="14.25" customHeight="1">
      <c r="A23" s="20"/>
      <c r="B23" s="17"/>
      <c r="C23" s="17"/>
      <c r="D23" s="17">
        <f t="shared" si="2"/>
        <v>0</v>
      </c>
    </row>
    <row r="24" spans="1:4" ht="14.25" customHeight="1">
      <c r="A24" s="20"/>
      <c r="B24" s="17"/>
      <c r="C24" s="19"/>
      <c r="D24" s="17">
        <f>D23+C24</f>
        <v>0</v>
      </c>
    </row>
    <row r="25" spans="1:4" ht="14.25" customHeight="1">
      <c r="A25" s="20"/>
      <c r="B25" s="17"/>
      <c r="C25" s="19"/>
      <c r="D25" s="17">
        <f>C25+D24</f>
        <v>0</v>
      </c>
    </row>
    <row r="26" spans="1:4" ht="14.25" customHeight="1">
      <c r="A26" s="20"/>
      <c r="B26" s="17"/>
      <c r="C26" s="19"/>
      <c r="D26" s="17">
        <f>C26+D25</f>
        <v>0</v>
      </c>
    </row>
    <row r="27" spans="1:4" ht="14.25" customHeight="1">
      <c r="A27" s="20"/>
      <c r="B27" s="17"/>
      <c r="C27" s="19"/>
      <c r="D27" s="17">
        <f>C27+D26</f>
        <v>0</v>
      </c>
    </row>
    <row r="28" spans="1:4" ht="14.25" customHeight="1">
      <c r="A28" s="20"/>
      <c r="B28" s="17"/>
      <c r="C28" s="17"/>
      <c r="D28" s="17">
        <f>C28+D27</f>
        <v>0</v>
      </c>
    </row>
    <row r="29" spans="1:4" ht="14.25" customHeight="1">
      <c r="A29" s="20"/>
      <c r="B29" s="17"/>
      <c r="C29" s="17"/>
      <c r="D29" s="17">
        <f t="shared" ref="D29:D91" si="3">D28+C29</f>
        <v>0</v>
      </c>
    </row>
    <row r="30" spans="1:4" ht="14.25" customHeight="1">
      <c r="A30" s="18"/>
      <c r="B30" s="17"/>
      <c r="C30" s="22"/>
      <c r="D30" s="17">
        <f t="shared" si="3"/>
        <v>0</v>
      </c>
    </row>
    <row r="31" spans="1:4" ht="14.25" customHeight="1">
      <c r="A31" s="18"/>
      <c r="B31" s="17"/>
      <c r="C31" s="19"/>
      <c r="D31" s="17">
        <f t="shared" si="3"/>
        <v>0</v>
      </c>
    </row>
    <row r="32" spans="1:4" ht="14.25" customHeight="1">
      <c r="A32" s="18"/>
      <c r="B32" s="17"/>
      <c r="C32" s="19"/>
      <c r="D32" s="17">
        <f t="shared" si="3"/>
        <v>0</v>
      </c>
    </row>
    <row r="33" spans="1:4" ht="14.25" customHeight="1">
      <c r="A33" s="18"/>
      <c r="B33" s="17"/>
      <c r="C33" s="19"/>
      <c r="D33" s="17">
        <f t="shared" si="3"/>
        <v>0</v>
      </c>
    </row>
    <row r="34" spans="1:4" ht="14.25" customHeight="1">
      <c r="A34" s="20"/>
      <c r="B34" s="17"/>
      <c r="C34" s="17"/>
      <c r="D34" s="17">
        <f t="shared" si="3"/>
        <v>0</v>
      </c>
    </row>
    <row r="35" spans="1:4" ht="14.25" customHeight="1">
      <c r="A35" s="20"/>
      <c r="B35" s="17"/>
      <c r="C35" s="17"/>
      <c r="D35" s="17">
        <f t="shared" si="3"/>
        <v>0</v>
      </c>
    </row>
    <row r="36" spans="1:4" ht="14.25" customHeight="1">
      <c r="A36" s="20"/>
      <c r="B36" s="32"/>
      <c r="C36" s="33"/>
      <c r="D36" s="17">
        <f t="shared" si="3"/>
        <v>0</v>
      </c>
    </row>
    <row r="37" spans="1:4" ht="14.25" customHeight="1">
      <c r="A37" s="20"/>
      <c r="B37" s="32"/>
      <c r="C37" s="17"/>
      <c r="D37" s="17">
        <f t="shared" si="3"/>
        <v>0</v>
      </c>
    </row>
    <row r="38" spans="1:4" ht="14.25" customHeight="1">
      <c r="A38" s="20"/>
      <c r="B38" s="32"/>
      <c r="C38" s="17"/>
      <c r="D38" s="17">
        <f t="shared" si="3"/>
        <v>0</v>
      </c>
    </row>
    <row r="39" spans="1:4" ht="14.25" customHeight="1">
      <c r="A39" s="20"/>
      <c r="B39" s="32"/>
      <c r="C39" s="17"/>
      <c r="D39" s="17">
        <f t="shared" si="3"/>
        <v>0</v>
      </c>
    </row>
    <row r="40" spans="1:4" ht="14.25" customHeight="1">
      <c r="A40" s="20"/>
      <c r="B40" s="32"/>
      <c r="C40" s="17"/>
      <c r="D40" s="17">
        <f t="shared" si="3"/>
        <v>0</v>
      </c>
    </row>
    <row r="41" spans="1:4" ht="14.25" customHeight="1">
      <c r="A41" s="20"/>
      <c r="B41" s="17"/>
      <c r="C41" s="30"/>
      <c r="D41" s="17">
        <f t="shared" si="3"/>
        <v>0</v>
      </c>
    </row>
    <row r="42" spans="1:4" ht="14.25" customHeight="1">
      <c r="A42" s="20"/>
      <c r="B42" s="17"/>
      <c r="C42" s="30"/>
      <c r="D42" s="17">
        <f t="shared" si="3"/>
        <v>0</v>
      </c>
    </row>
    <row r="43" spans="1:4" ht="14.25" customHeight="1">
      <c r="A43" s="20"/>
      <c r="B43" s="32"/>
      <c r="C43" s="17"/>
      <c r="D43" s="17">
        <f t="shared" si="3"/>
        <v>0</v>
      </c>
    </row>
    <row r="44" spans="1:4" ht="14.25" customHeight="1">
      <c r="A44" s="41"/>
      <c r="B44" s="32"/>
      <c r="C44" s="22"/>
      <c r="D44" s="17">
        <f t="shared" si="3"/>
        <v>0</v>
      </c>
    </row>
    <row r="45" spans="1:4" ht="14.25" customHeight="1">
      <c r="A45" s="20"/>
      <c r="B45" s="32"/>
      <c r="C45" s="33"/>
      <c r="D45" s="17">
        <f t="shared" si="3"/>
        <v>0</v>
      </c>
    </row>
    <row r="46" spans="1:4" ht="14.25" customHeight="1">
      <c r="A46" s="20"/>
      <c r="B46" s="32"/>
      <c r="C46" s="17"/>
      <c r="D46" s="17">
        <f t="shared" si="3"/>
        <v>0</v>
      </c>
    </row>
    <row r="47" spans="1:4" ht="14.25" customHeight="1">
      <c r="A47" s="20"/>
      <c r="B47" s="32"/>
      <c r="C47" s="17"/>
      <c r="D47" s="17">
        <f t="shared" si="3"/>
        <v>0</v>
      </c>
    </row>
    <row r="48" spans="1:4" ht="14.25" customHeight="1">
      <c r="A48" s="20"/>
      <c r="B48" s="32"/>
      <c r="C48" s="17"/>
      <c r="D48" s="17">
        <f t="shared" si="3"/>
        <v>0</v>
      </c>
    </row>
    <row r="49" spans="1:4" ht="14.25" customHeight="1">
      <c r="A49" s="20"/>
      <c r="B49" s="32"/>
      <c r="C49" s="17"/>
      <c r="D49" s="17">
        <f t="shared" si="3"/>
        <v>0</v>
      </c>
    </row>
    <row r="50" spans="1:4" ht="14.25" customHeight="1">
      <c r="A50" s="20"/>
      <c r="B50" s="30"/>
      <c r="C50" s="17"/>
      <c r="D50" s="17">
        <f t="shared" si="3"/>
        <v>0</v>
      </c>
    </row>
    <row r="51" spans="1:4" ht="14.25" customHeight="1">
      <c r="A51" s="20"/>
      <c r="B51" s="33"/>
      <c r="C51" s="17"/>
      <c r="D51" s="17">
        <f t="shared" si="3"/>
        <v>0</v>
      </c>
    </row>
    <row r="52" spans="1:4" ht="14.25" customHeight="1">
      <c r="A52" s="20"/>
      <c r="B52" s="33"/>
      <c r="C52" s="30"/>
      <c r="D52" s="17">
        <f t="shared" si="3"/>
        <v>0</v>
      </c>
    </row>
    <row r="53" spans="1:4" ht="14.25" customHeight="1">
      <c r="A53" s="20"/>
      <c r="B53" s="33"/>
      <c r="C53" s="17"/>
      <c r="D53" s="17">
        <f t="shared" si="3"/>
        <v>0</v>
      </c>
    </row>
    <row r="54" spans="1:4" ht="14.25" customHeight="1">
      <c r="A54" s="20"/>
      <c r="B54" s="30"/>
      <c r="C54" s="19"/>
      <c r="D54" s="17">
        <f t="shared" si="3"/>
        <v>0</v>
      </c>
    </row>
    <row r="55" spans="1:4" ht="14.25" customHeight="1">
      <c r="A55" s="20"/>
      <c r="B55" s="32"/>
      <c r="C55" s="30"/>
      <c r="D55" s="17">
        <f t="shared" si="3"/>
        <v>0</v>
      </c>
    </row>
    <row r="56" spans="1:4" ht="14.25" customHeight="1">
      <c r="A56" s="20"/>
      <c r="B56" s="32"/>
      <c r="C56" s="19"/>
      <c r="D56" s="17">
        <f t="shared" si="3"/>
        <v>0</v>
      </c>
    </row>
    <row r="57" spans="1:4" ht="14.25" customHeight="1">
      <c r="A57" s="20"/>
      <c r="B57" s="32"/>
      <c r="C57" s="17"/>
      <c r="D57" s="17">
        <f t="shared" si="3"/>
        <v>0</v>
      </c>
    </row>
    <row r="58" spans="1:4" ht="14.25" customHeight="1">
      <c r="A58" s="20"/>
      <c r="B58" s="32"/>
      <c r="C58" s="42"/>
      <c r="D58" s="17">
        <f t="shared" si="3"/>
        <v>0</v>
      </c>
    </row>
    <row r="59" spans="1:4" ht="14.25" customHeight="1">
      <c r="A59" s="20"/>
      <c r="B59" s="32"/>
      <c r="C59" s="54"/>
      <c r="D59" s="17">
        <f t="shared" si="3"/>
        <v>0</v>
      </c>
    </row>
    <row r="60" spans="1:4" ht="14.25" customHeight="1">
      <c r="A60" s="20"/>
      <c r="B60" s="53"/>
      <c r="C60" s="55"/>
      <c r="D60" s="17">
        <f t="shared" si="3"/>
        <v>0</v>
      </c>
    </row>
    <row r="61" spans="1:4" ht="14.25" customHeight="1">
      <c r="A61" s="20"/>
      <c r="B61" s="53"/>
      <c r="C61" s="55"/>
      <c r="D61" s="17">
        <f t="shared" si="3"/>
        <v>0</v>
      </c>
    </row>
    <row r="62" spans="1:4" ht="14.25" customHeight="1">
      <c r="A62" s="20"/>
      <c r="B62" s="53"/>
      <c r="C62" s="55"/>
      <c r="D62" s="17">
        <f t="shared" si="3"/>
        <v>0</v>
      </c>
    </row>
    <row r="63" spans="1:4" ht="14.25" customHeight="1">
      <c r="A63" s="20"/>
      <c r="B63" s="32"/>
      <c r="C63" s="17"/>
      <c r="D63" s="17">
        <f>D62+C63</f>
        <v>0</v>
      </c>
    </row>
    <row r="64" spans="1:4" ht="14.25" customHeight="1">
      <c r="A64" s="20"/>
      <c r="B64" s="33"/>
      <c r="C64" s="52"/>
      <c r="D64" s="17">
        <f>D63+C64</f>
        <v>0</v>
      </c>
    </row>
    <row r="65" spans="1:4" ht="14.25" customHeight="1">
      <c r="A65" s="20"/>
      <c r="B65" s="33"/>
      <c r="C65" s="17"/>
      <c r="D65" s="17">
        <f t="shared" si="3"/>
        <v>0</v>
      </c>
    </row>
    <row r="66" spans="1:4" ht="14.25" customHeight="1">
      <c r="A66" s="20"/>
      <c r="B66" s="33"/>
      <c r="C66" s="33"/>
      <c r="D66" s="17">
        <f>D65+C66</f>
        <v>0</v>
      </c>
    </row>
    <row r="67" spans="1:4" ht="14.25" customHeight="1">
      <c r="A67" s="20"/>
      <c r="B67" s="33"/>
      <c r="C67" s="33"/>
      <c r="D67" s="17">
        <f t="shared" si="3"/>
        <v>0</v>
      </c>
    </row>
    <row r="68" spans="1:4" ht="14.25" customHeight="1">
      <c r="A68" s="20"/>
      <c r="B68" s="32"/>
      <c r="C68" s="33"/>
      <c r="D68" s="17">
        <f t="shared" si="3"/>
        <v>0</v>
      </c>
    </row>
    <row r="69" spans="1:4" ht="14.25" customHeight="1">
      <c r="A69" s="20"/>
      <c r="B69" s="33"/>
      <c r="C69" s="33"/>
      <c r="D69" s="17">
        <f>D68+C69</f>
        <v>0</v>
      </c>
    </row>
    <row r="70" spans="1:4" ht="14.25" customHeight="1">
      <c r="A70" s="20"/>
      <c r="B70" s="33"/>
      <c r="C70" s="30"/>
      <c r="D70" s="17">
        <f>D69+C70</f>
        <v>0</v>
      </c>
    </row>
    <row r="71" spans="1:4" ht="14.25" customHeight="1">
      <c r="A71" s="20"/>
      <c r="B71" s="32"/>
      <c r="C71" s="30"/>
      <c r="D71" s="17">
        <f>D70+C71</f>
        <v>0</v>
      </c>
    </row>
    <row r="72" spans="1:4" ht="14.25" customHeight="1">
      <c r="A72" s="20"/>
      <c r="B72" s="32"/>
      <c r="C72" s="33"/>
      <c r="D72" s="17">
        <f>D71+C72</f>
        <v>0</v>
      </c>
    </row>
    <row r="73" spans="1:4" ht="14.25" customHeight="1">
      <c r="A73" s="20"/>
      <c r="B73" s="32"/>
      <c r="C73" s="33"/>
      <c r="D73" s="17">
        <f t="shared" si="3"/>
        <v>0</v>
      </c>
    </row>
    <row r="74" spans="1:4" ht="14.25" customHeight="1">
      <c r="A74" s="72"/>
      <c r="B74" s="33"/>
      <c r="C74" s="33"/>
      <c r="D74" s="17">
        <f t="shared" si="3"/>
        <v>0</v>
      </c>
    </row>
    <row r="75" spans="1:4" ht="14.25" customHeight="1">
      <c r="A75" s="20"/>
      <c r="B75" s="33"/>
      <c r="C75" s="54"/>
      <c r="D75" s="17">
        <f t="shared" si="3"/>
        <v>0</v>
      </c>
    </row>
    <row r="76" spans="1:4" ht="14.25" customHeight="1">
      <c r="A76" s="20"/>
      <c r="B76" s="53"/>
      <c r="C76" s="74"/>
      <c r="D76" s="17">
        <f t="shared" ref="D76:D84" si="4">C76+D75</f>
        <v>0</v>
      </c>
    </row>
    <row r="77" spans="1:4" ht="14.25" customHeight="1">
      <c r="A77" s="20"/>
      <c r="B77" s="53"/>
      <c r="C77" s="75"/>
      <c r="D77" s="17">
        <f t="shared" si="4"/>
        <v>0</v>
      </c>
    </row>
    <row r="78" spans="1:4" ht="14.25" customHeight="1">
      <c r="A78" s="20"/>
      <c r="B78" s="53"/>
      <c r="C78" s="75"/>
      <c r="D78" s="17">
        <f t="shared" si="4"/>
        <v>0</v>
      </c>
    </row>
    <row r="79" spans="1:4" ht="14.25" customHeight="1">
      <c r="A79" s="20"/>
      <c r="B79" s="32"/>
      <c r="C79" s="73"/>
      <c r="D79" s="17">
        <f t="shared" si="4"/>
        <v>0</v>
      </c>
    </row>
    <row r="80" spans="1:4" ht="14.25" customHeight="1">
      <c r="A80" s="20"/>
      <c r="B80" s="32"/>
      <c r="C80" s="33"/>
      <c r="D80" s="17">
        <f t="shared" si="4"/>
        <v>0</v>
      </c>
    </row>
    <row r="81" spans="1:4" ht="14.25" customHeight="1">
      <c r="A81" s="20"/>
      <c r="B81" s="33"/>
      <c r="C81" s="33"/>
      <c r="D81" s="17">
        <f t="shared" si="4"/>
        <v>0</v>
      </c>
    </row>
    <row r="82" spans="1:4" ht="14.25" customHeight="1">
      <c r="A82" s="20"/>
      <c r="B82" s="33"/>
      <c r="C82" s="33"/>
      <c r="D82" s="17">
        <f t="shared" si="4"/>
        <v>0</v>
      </c>
    </row>
    <row r="83" spans="1:4" ht="14.25" customHeight="1">
      <c r="A83" s="20"/>
      <c r="B83" s="33"/>
      <c r="C83" s="30"/>
      <c r="D83" s="17">
        <f t="shared" si="4"/>
        <v>0</v>
      </c>
    </row>
    <row r="84" spans="1:4" ht="14.25" customHeight="1">
      <c r="A84" s="20"/>
      <c r="B84" s="32"/>
      <c r="C84" s="30"/>
      <c r="D84" s="17">
        <f t="shared" si="4"/>
        <v>0</v>
      </c>
    </row>
    <row r="85" spans="1:4" ht="14.25" customHeight="1">
      <c r="A85" s="20"/>
      <c r="B85" s="33"/>
      <c r="C85" s="30"/>
      <c r="D85" s="17">
        <f>D84+C85</f>
        <v>0</v>
      </c>
    </row>
    <row r="86" spans="1:4" ht="14.25" customHeight="1">
      <c r="A86" s="20"/>
      <c r="B86" s="53"/>
      <c r="C86" s="17"/>
      <c r="D86" s="17">
        <f>D85+C86</f>
        <v>0</v>
      </c>
    </row>
    <row r="87" spans="1:4" ht="14.25" customHeight="1">
      <c r="A87" s="20"/>
      <c r="B87" s="32"/>
      <c r="C87" s="17"/>
      <c r="D87" s="17">
        <f>D86+C87</f>
        <v>0</v>
      </c>
    </row>
    <row r="88" spans="1:4" ht="14.25" customHeight="1">
      <c r="A88" s="20"/>
      <c r="B88" s="32"/>
      <c r="C88" s="17"/>
      <c r="D88" s="17">
        <f>D87+C88</f>
        <v>0</v>
      </c>
    </row>
    <row r="89" spans="1:4" ht="14.25" customHeight="1">
      <c r="A89" s="20"/>
      <c r="B89" s="32"/>
      <c r="C89" s="17"/>
      <c r="D89" s="17">
        <f t="shared" si="3"/>
        <v>0</v>
      </c>
    </row>
    <row r="90" spans="1:4" ht="14.25" customHeight="1">
      <c r="A90" s="20"/>
      <c r="B90" s="32"/>
      <c r="C90" s="33"/>
      <c r="D90" s="17">
        <f t="shared" si="3"/>
        <v>0</v>
      </c>
    </row>
    <row r="91" spans="1:4" ht="14.25" customHeight="1">
      <c r="A91" s="76"/>
      <c r="B91" s="77"/>
      <c r="C91" s="78"/>
      <c r="D91" s="79">
        <f t="shared" si="3"/>
        <v>0</v>
      </c>
    </row>
    <row r="92" spans="1:4" ht="14.25" customHeight="1">
      <c r="A92" s="80"/>
      <c r="B92" s="33"/>
      <c r="C92" s="54"/>
      <c r="D92" s="82">
        <f t="shared" ref="D92:D102" si="5">C92+D91</f>
        <v>0</v>
      </c>
    </row>
    <row r="93" spans="1:4" ht="14.25" customHeight="1">
      <c r="A93" s="83"/>
      <c r="B93" s="81"/>
      <c r="C93" s="75"/>
      <c r="D93" s="82">
        <f t="shared" si="5"/>
        <v>0</v>
      </c>
    </row>
    <row r="94" spans="1:4" ht="14.25" customHeight="1">
      <c r="A94" s="80"/>
      <c r="B94" s="81"/>
      <c r="C94" s="75"/>
      <c r="D94" s="82">
        <f t="shared" si="5"/>
        <v>0</v>
      </c>
    </row>
    <row r="95" spans="1:4" ht="14.25" customHeight="1">
      <c r="A95" s="80"/>
      <c r="B95" s="81"/>
      <c r="C95" s="75"/>
      <c r="D95" s="82">
        <f t="shared" si="5"/>
        <v>0</v>
      </c>
    </row>
    <row r="96" spans="1:4" ht="14.25" customHeight="1">
      <c r="A96" s="80"/>
      <c r="B96" s="81"/>
      <c r="C96" s="75"/>
      <c r="D96" s="82">
        <f t="shared" si="5"/>
        <v>0</v>
      </c>
    </row>
    <row r="97" spans="1:4" ht="14.25" customHeight="1">
      <c r="A97" s="80"/>
      <c r="B97" s="81"/>
      <c r="C97" s="75"/>
      <c r="D97" s="82">
        <f t="shared" si="5"/>
        <v>0</v>
      </c>
    </row>
    <row r="98" spans="1:4" ht="14.25" customHeight="1">
      <c r="A98" s="80"/>
      <c r="B98" s="81"/>
      <c r="C98" s="75"/>
      <c r="D98" s="82">
        <f t="shared" si="5"/>
        <v>0</v>
      </c>
    </row>
    <row r="99" spans="1:4" ht="14.25" customHeight="1">
      <c r="A99" s="80"/>
      <c r="B99" s="81"/>
      <c r="C99" s="75"/>
      <c r="D99" s="82">
        <f t="shared" si="5"/>
        <v>0</v>
      </c>
    </row>
    <row r="100" spans="1:4" ht="14.25" customHeight="1">
      <c r="A100" s="80"/>
      <c r="B100" s="81"/>
      <c r="C100" s="75"/>
      <c r="D100" s="82">
        <f t="shared" si="5"/>
        <v>0</v>
      </c>
    </row>
    <row r="101" spans="1:4" ht="14.25" customHeight="1">
      <c r="A101" s="80"/>
      <c r="B101" s="81"/>
      <c r="C101" s="75"/>
      <c r="D101" s="82">
        <f t="shared" si="5"/>
        <v>0</v>
      </c>
    </row>
    <row r="102" spans="1:4" ht="14.25" customHeight="1">
      <c r="A102" s="80"/>
      <c r="B102" s="81"/>
      <c r="C102" s="75"/>
      <c r="D102" s="82">
        <f t="shared" si="5"/>
        <v>0</v>
      </c>
    </row>
    <row r="103" spans="1:4" ht="14.25" customHeight="1">
      <c r="A103" s="82"/>
      <c r="B103" s="82"/>
      <c r="C103" s="82"/>
      <c r="D103" s="82">
        <f>D102+C103</f>
        <v>0</v>
      </c>
    </row>
    <row r="104" spans="1:4" ht="14.25" customHeight="1">
      <c r="A104" s="82"/>
      <c r="B104" s="82"/>
      <c r="C104" s="82"/>
      <c r="D104" s="82">
        <f t="shared" ref="D104" si="6">D103+C104</f>
        <v>0</v>
      </c>
    </row>
    <row r="105" spans="1:4" ht="14.25" customHeight="1"/>
    <row r="106" spans="1:4" ht="14.25" customHeight="1"/>
    <row r="107" spans="1:4" ht="14.25" customHeight="1"/>
    <row r="108" spans="1:4" ht="14.25" customHeight="1"/>
    <row r="109" spans="1:4" ht="14.25" customHeight="1"/>
    <row r="110" spans="1:4" ht="14.25" customHeight="1"/>
    <row r="111" spans="1:4" ht="14.25" customHeight="1"/>
    <row r="112" spans="1:4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autoFilter ref="A1:D104" xr:uid="{00000000-0009-0000-0000-000001000000}"/>
  <conditionalFormatting sqref="D1">
    <cfRule type="cellIs" dxfId="5" priority="1" operator="equal">
      <formula>$D$1</formula>
    </cfRule>
  </conditionalFormatting>
  <conditionalFormatting sqref="D1:D1017">
    <cfRule type="cellIs" dxfId="4" priority="2" operator="lessThan">
      <formula>0</formula>
    </cfRule>
    <cfRule type="cellIs" dxfId="3" priority="3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ySplit="4" topLeftCell="A5" activePane="bottomLeft" state="frozen"/>
      <selection pane="bottomLeft" activeCell="I26" sqref="I26"/>
    </sheetView>
  </sheetViews>
  <sheetFormatPr defaultColWidth="14.44140625" defaultRowHeight="15" customHeight="1"/>
  <cols>
    <col min="1" max="1" width="4" customWidth="1"/>
    <col min="2" max="2" width="33.33203125" customWidth="1"/>
    <col min="3" max="4" width="18.33203125" customWidth="1"/>
    <col min="5" max="6" width="15.6640625" customWidth="1"/>
    <col min="7" max="7" width="11.88671875" customWidth="1"/>
    <col min="8" max="8" width="13.5546875" customWidth="1"/>
    <col min="9" max="10" width="16.5546875" customWidth="1"/>
    <col min="11" max="11" width="14.44140625" customWidth="1"/>
    <col min="12" max="22" width="8.44140625" customWidth="1"/>
  </cols>
  <sheetData>
    <row r="1" spans="1:23" ht="1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142"/>
      <c r="M1" s="142"/>
      <c r="N1" s="142"/>
      <c r="O1" s="142"/>
      <c r="P1" s="43"/>
      <c r="Q1" s="43"/>
      <c r="R1" s="43"/>
      <c r="S1" s="43"/>
      <c r="T1" s="43"/>
      <c r="U1" s="43"/>
      <c r="V1" s="43"/>
      <c r="W1" s="43"/>
    </row>
    <row r="2" spans="1:23" ht="15" customHeight="1">
      <c r="A2" s="136" t="s">
        <v>114</v>
      </c>
      <c r="B2" s="137"/>
      <c r="C2" s="137"/>
      <c r="D2" s="137"/>
      <c r="E2" s="137"/>
      <c r="F2" s="137"/>
      <c r="G2" s="137"/>
      <c r="H2" s="137"/>
      <c r="I2" s="137"/>
      <c r="J2" s="137"/>
      <c r="K2" s="138"/>
      <c r="L2" s="142"/>
      <c r="M2" s="142"/>
      <c r="N2" s="142"/>
      <c r="O2" s="142"/>
      <c r="P2" s="43"/>
      <c r="Q2" s="43"/>
      <c r="R2" s="43"/>
      <c r="S2" s="43"/>
      <c r="T2" s="43"/>
      <c r="U2" s="43"/>
      <c r="V2" s="43"/>
      <c r="W2" s="43"/>
    </row>
    <row r="3" spans="1:23" ht="15" customHeight="1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1"/>
      <c r="L3" s="142"/>
      <c r="M3" s="142"/>
      <c r="N3" s="142"/>
      <c r="O3" s="142"/>
      <c r="P3" s="43"/>
      <c r="Q3" s="43"/>
      <c r="R3" s="43"/>
      <c r="S3" s="43"/>
      <c r="T3" s="43"/>
      <c r="U3" s="43"/>
      <c r="V3" s="43"/>
      <c r="W3" s="43"/>
    </row>
    <row r="4" spans="1:23" ht="14.25" customHeight="1">
      <c r="A4" s="44"/>
      <c r="B4" s="45" t="s">
        <v>0</v>
      </c>
      <c r="C4" s="46" t="s">
        <v>1</v>
      </c>
      <c r="D4" s="46" t="s">
        <v>2</v>
      </c>
      <c r="E4" s="45" t="s">
        <v>3</v>
      </c>
      <c r="F4" s="45" t="s">
        <v>4</v>
      </c>
      <c r="G4" s="45" t="s">
        <v>5</v>
      </c>
      <c r="H4" s="45" t="s">
        <v>6</v>
      </c>
      <c r="I4" s="47" t="s">
        <v>7</v>
      </c>
      <c r="J4" s="48" t="s">
        <v>8</v>
      </c>
      <c r="K4" s="49" t="s">
        <v>9</v>
      </c>
      <c r="L4" s="142"/>
      <c r="M4" s="142"/>
      <c r="N4" s="142"/>
      <c r="O4" s="142"/>
      <c r="P4" s="51"/>
      <c r="Q4" s="51"/>
      <c r="R4" s="51"/>
      <c r="S4" s="51"/>
      <c r="T4" s="51"/>
      <c r="U4" s="51"/>
      <c r="V4" s="43"/>
      <c r="W4" s="43"/>
    </row>
    <row r="5" spans="1:23" ht="14.25" customHeight="1">
      <c r="A5" s="2">
        <v>1</v>
      </c>
      <c r="B5" s="63" t="s">
        <v>10</v>
      </c>
      <c r="C5" s="3" t="s">
        <v>11</v>
      </c>
      <c r="D5" s="4">
        <v>45698</v>
      </c>
      <c r="E5" s="3" t="s">
        <v>12</v>
      </c>
      <c r="F5" s="162">
        <v>260</v>
      </c>
      <c r="G5" s="3" t="s">
        <v>14</v>
      </c>
      <c r="H5" s="67">
        <v>46035</v>
      </c>
      <c r="I5" s="3" t="s">
        <v>15</v>
      </c>
      <c r="J5" s="3" t="s">
        <v>15</v>
      </c>
      <c r="K5" s="3" t="s">
        <v>16</v>
      </c>
      <c r="L5" s="142"/>
      <c r="M5" s="142"/>
      <c r="N5" s="142"/>
      <c r="O5" s="142"/>
      <c r="P5" s="51"/>
      <c r="Q5" s="51"/>
      <c r="R5" s="51"/>
      <c r="S5" s="51"/>
      <c r="T5" s="51"/>
      <c r="U5" s="51"/>
      <c r="V5" s="51"/>
      <c r="W5" s="43"/>
    </row>
    <row r="6" spans="1:23" ht="14.25" customHeight="1">
      <c r="A6" s="2">
        <v>2</v>
      </c>
      <c r="B6" s="63" t="s">
        <v>17</v>
      </c>
      <c r="C6" s="3" t="s">
        <v>18</v>
      </c>
      <c r="D6" s="4">
        <v>45694</v>
      </c>
      <c r="E6" s="3" t="s">
        <v>12</v>
      </c>
      <c r="F6" s="3" t="s">
        <v>13</v>
      </c>
      <c r="G6" s="3" t="s">
        <v>14</v>
      </c>
      <c r="H6" s="67">
        <v>46039</v>
      </c>
      <c r="I6" s="3" t="s">
        <v>15</v>
      </c>
      <c r="J6" s="3" t="s">
        <v>15</v>
      </c>
      <c r="K6" s="3" t="s">
        <v>16</v>
      </c>
      <c r="L6" s="142"/>
      <c r="M6" s="142"/>
      <c r="N6" s="142"/>
      <c r="O6" s="142"/>
      <c r="P6" s="51"/>
      <c r="Q6" s="51"/>
      <c r="R6" s="51"/>
      <c r="S6" s="51"/>
      <c r="T6" s="51"/>
      <c r="U6" s="51"/>
      <c r="V6" s="51"/>
      <c r="W6" s="43"/>
    </row>
    <row r="7" spans="1:23" ht="14.25" customHeight="1">
      <c r="A7" s="2">
        <v>3</v>
      </c>
      <c r="B7" s="63" t="s">
        <v>19</v>
      </c>
      <c r="C7" s="3" t="s">
        <v>20</v>
      </c>
      <c r="D7" s="4">
        <v>45700</v>
      </c>
      <c r="E7" s="3" t="s">
        <v>12</v>
      </c>
      <c r="F7" s="3" t="s">
        <v>13</v>
      </c>
      <c r="G7" s="3" t="s">
        <v>14</v>
      </c>
      <c r="H7" s="67">
        <v>46032</v>
      </c>
      <c r="I7" s="3" t="s">
        <v>21</v>
      </c>
      <c r="J7" s="3" t="s">
        <v>22</v>
      </c>
      <c r="K7" s="3" t="s">
        <v>16</v>
      </c>
      <c r="L7" s="142"/>
      <c r="M7" s="142"/>
      <c r="N7" s="142"/>
      <c r="O7" s="142"/>
      <c r="P7" s="51"/>
      <c r="Q7" s="51"/>
      <c r="R7" s="51"/>
      <c r="S7" s="51"/>
      <c r="T7" s="51"/>
      <c r="U7" s="51"/>
      <c r="V7" s="51"/>
      <c r="W7" s="43"/>
    </row>
    <row r="8" spans="1:23" ht="14.25" customHeight="1">
      <c r="A8" s="2">
        <v>4</v>
      </c>
      <c r="B8" s="63" t="s">
        <v>23</v>
      </c>
      <c r="C8" s="3" t="s">
        <v>24</v>
      </c>
      <c r="D8" s="4">
        <v>45726</v>
      </c>
      <c r="E8" s="3" t="s">
        <v>12</v>
      </c>
      <c r="F8" s="3" t="s">
        <v>13</v>
      </c>
      <c r="G8" s="3" t="s">
        <v>25</v>
      </c>
      <c r="H8" s="68">
        <v>46023</v>
      </c>
      <c r="I8" s="3" t="s">
        <v>21</v>
      </c>
      <c r="J8" s="3" t="s">
        <v>22</v>
      </c>
      <c r="K8" s="3" t="s">
        <v>16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43"/>
    </row>
    <row r="9" spans="1:23" ht="14.25" customHeight="1">
      <c r="A9" s="2">
        <v>5</v>
      </c>
      <c r="B9" s="63" t="s">
        <v>26</v>
      </c>
      <c r="C9" s="3" t="s">
        <v>27</v>
      </c>
      <c r="D9" s="4">
        <v>45712</v>
      </c>
      <c r="E9" s="3" t="s">
        <v>12</v>
      </c>
      <c r="F9" s="3" t="s">
        <v>13</v>
      </c>
      <c r="G9" s="3" t="s">
        <v>14</v>
      </c>
      <c r="H9" s="67">
        <v>46037</v>
      </c>
      <c r="I9" s="3" t="s">
        <v>21</v>
      </c>
      <c r="J9" s="3" t="s">
        <v>22</v>
      </c>
      <c r="K9" s="3" t="s">
        <v>16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43"/>
    </row>
    <row r="10" spans="1:23" ht="14.25" customHeight="1">
      <c r="A10" s="2">
        <v>6</v>
      </c>
      <c r="B10" s="63" t="s">
        <v>28</v>
      </c>
      <c r="C10" s="3" t="s">
        <v>29</v>
      </c>
      <c r="D10" s="4">
        <v>45712</v>
      </c>
      <c r="E10" s="3" t="s">
        <v>12</v>
      </c>
      <c r="F10" s="3" t="s">
        <v>13</v>
      </c>
      <c r="G10" s="3" t="s">
        <v>14</v>
      </c>
      <c r="H10" s="67">
        <v>46040</v>
      </c>
      <c r="I10" s="3" t="s">
        <v>30</v>
      </c>
      <c r="J10" s="3" t="s">
        <v>15</v>
      </c>
      <c r="K10" s="3" t="s">
        <v>16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43"/>
    </row>
    <row r="11" spans="1:23" ht="14.25" customHeight="1">
      <c r="A11" s="2">
        <v>7</v>
      </c>
      <c r="B11" s="63" t="s">
        <v>31</v>
      </c>
      <c r="C11" s="3" t="s">
        <v>32</v>
      </c>
      <c r="D11" s="4">
        <v>45715</v>
      </c>
      <c r="E11" s="3" t="s">
        <v>12</v>
      </c>
      <c r="F11" s="3" t="s">
        <v>13</v>
      </c>
      <c r="G11" s="3" t="s">
        <v>33</v>
      </c>
      <c r="H11" s="69">
        <v>45808</v>
      </c>
      <c r="I11" s="31" t="s">
        <v>21</v>
      </c>
      <c r="J11" s="3" t="s">
        <v>22</v>
      </c>
      <c r="K11" s="3" t="s">
        <v>16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43"/>
    </row>
    <row r="12" spans="1:23" ht="14.25" customHeight="1">
      <c r="A12" s="2">
        <v>8</v>
      </c>
      <c r="B12" s="63" t="s">
        <v>34</v>
      </c>
      <c r="C12" s="3" t="s">
        <v>35</v>
      </c>
      <c r="D12" s="4">
        <v>45727</v>
      </c>
      <c r="E12" s="3" t="s">
        <v>12</v>
      </c>
      <c r="F12" s="3" t="s">
        <v>13</v>
      </c>
      <c r="G12" s="3" t="s">
        <v>25</v>
      </c>
      <c r="H12" s="67">
        <v>46027</v>
      </c>
      <c r="I12" s="3" t="s">
        <v>15</v>
      </c>
      <c r="J12" s="3" t="s">
        <v>15</v>
      </c>
      <c r="K12" s="3" t="s">
        <v>16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43"/>
    </row>
    <row r="13" spans="1:23" ht="14.25" customHeight="1">
      <c r="A13" s="2">
        <v>9</v>
      </c>
      <c r="B13" s="63" t="s">
        <v>36</v>
      </c>
      <c r="C13" s="3" t="s">
        <v>37</v>
      </c>
      <c r="D13" s="4">
        <v>45733</v>
      </c>
      <c r="E13" s="3" t="s">
        <v>12</v>
      </c>
      <c r="F13" s="3" t="s">
        <v>13</v>
      </c>
      <c r="G13" s="3" t="s">
        <v>14</v>
      </c>
      <c r="H13" s="71">
        <v>45940</v>
      </c>
      <c r="I13" s="3" t="s">
        <v>21</v>
      </c>
      <c r="J13" s="3" t="s">
        <v>22</v>
      </c>
      <c r="K13" s="3" t="s">
        <v>16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43"/>
    </row>
    <row r="14" spans="1:23" ht="14.25" customHeight="1">
      <c r="A14" s="2">
        <v>10</v>
      </c>
      <c r="B14" s="63" t="s">
        <v>38</v>
      </c>
      <c r="C14" s="3" t="s">
        <v>39</v>
      </c>
      <c r="D14" s="4">
        <v>45733</v>
      </c>
      <c r="E14" s="3" t="s">
        <v>12</v>
      </c>
      <c r="F14" s="3" t="s">
        <v>13</v>
      </c>
      <c r="G14" s="3" t="s">
        <v>25</v>
      </c>
      <c r="H14" s="163">
        <v>45991</v>
      </c>
      <c r="I14" s="3" t="s">
        <v>21</v>
      </c>
      <c r="J14" s="3" t="s">
        <v>22</v>
      </c>
      <c r="K14" s="3" t="s">
        <v>16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43"/>
    </row>
    <row r="15" spans="1:23" ht="14.25" customHeight="1">
      <c r="A15" s="2">
        <v>11</v>
      </c>
      <c r="B15" s="63" t="s">
        <v>40</v>
      </c>
      <c r="C15" s="3" t="s">
        <v>41</v>
      </c>
      <c r="D15" s="4">
        <v>45734</v>
      </c>
      <c r="E15" s="3" t="s">
        <v>12</v>
      </c>
      <c r="F15" s="3" t="s">
        <v>42</v>
      </c>
      <c r="G15" s="3" t="s">
        <v>14</v>
      </c>
      <c r="H15" s="164">
        <v>45980</v>
      </c>
      <c r="I15" s="3" t="s">
        <v>21</v>
      </c>
      <c r="J15" s="3" t="s">
        <v>43</v>
      </c>
      <c r="K15" s="3" t="s">
        <v>44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43"/>
    </row>
    <row r="16" spans="1:23" ht="14.25" customHeight="1">
      <c r="A16" s="2">
        <v>12</v>
      </c>
      <c r="B16" s="90" t="s">
        <v>162</v>
      </c>
      <c r="C16" s="62" t="s">
        <v>45</v>
      </c>
      <c r="D16" s="89">
        <v>45735</v>
      </c>
      <c r="E16" s="62" t="s">
        <v>12</v>
      </c>
      <c r="F16" s="62" t="s">
        <v>13</v>
      </c>
      <c r="G16" s="62" t="s">
        <v>14</v>
      </c>
      <c r="H16" s="89">
        <v>45854</v>
      </c>
      <c r="I16" s="62" t="s">
        <v>15</v>
      </c>
      <c r="J16" s="62" t="s">
        <v>15</v>
      </c>
      <c r="K16" s="91" t="s">
        <v>16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43"/>
    </row>
    <row r="17" spans="1:23" ht="14.25" customHeight="1">
      <c r="A17" s="2">
        <v>13</v>
      </c>
      <c r="B17" s="63" t="s">
        <v>46</v>
      </c>
      <c r="C17" s="3" t="s">
        <v>47</v>
      </c>
      <c r="D17" s="4">
        <v>45736</v>
      </c>
      <c r="E17" s="3" t="s">
        <v>15</v>
      </c>
      <c r="F17" s="3" t="s">
        <v>15</v>
      </c>
      <c r="G17" s="3" t="s">
        <v>15</v>
      </c>
      <c r="H17" s="3" t="s">
        <v>15</v>
      </c>
      <c r="I17" s="3" t="s">
        <v>21</v>
      </c>
      <c r="J17" s="3" t="s">
        <v>22</v>
      </c>
      <c r="K17" s="5" t="s">
        <v>48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43"/>
    </row>
    <row r="18" spans="1:23" ht="14.2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5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43"/>
    </row>
    <row r="19" spans="1:23" s="50" customFormat="1" ht="14.25" customHeight="1">
      <c r="A19" s="136" t="s">
        <v>112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8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43"/>
    </row>
    <row r="20" spans="1:23" ht="14.25" customHeight="1">
      <c r="A20" s="2">
        <v>1</v>
      </c>
      <c r="B20" s="88" t="s">
        <v>161</v>
      </c>
      <c r="C20" s="62" t="s">
        <v>113</v>
      </c>
      <c r="D20" s="89">
        <v>45811</v>
      </c>
      <c r="E20" s="66" t="s">
        <v>12</v>
      </c>
      <c r="F20" s="62" t="s">
        <v>13</v>
      </c>
      <c r="G20" s="62" t="s">
        <v>25</v>
      </c>
      <c r="H20" s="3"/>
      <c r="I20" s="3"/>
      <c r="J20" s="3"/>
      <c r="K20" s="5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43"/>
    </row>
    <row r="21" spans="1:23" ht="14.25" customHeight="1">
      <c r="A21" s="2">
        <v>2</v>
      </c>
      <c r="B21" s="64" t="s">
        <v>122</v>
      </c>
      <c r="C21" s="3" t="s">
        <v>123</v>
      </c>
      <c r="D21" s="4">
        <v>45848</v>
      </c>
      <c r="E21" s="65" t="s">
        <v>12</v>
      </c>
      <c r="F21" s="3" t="s">
        <v>13</v>
      </c>
      <c r="G21" s="3" t="s">
        <v>25</v>
      </c>
      <c r="H21" s="163">
        <v>46007</v>
      </c>
      <c r="I21" s="31" t="s">
        <v>16</v>
      </c>
      <c r="J21" s="3"/>
      <c r="K21" s="3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43"/>
    </row>
    <row r="22" spans="1:23" ht="14.25" customHeight="1">
      <c r="A22" s="2">
        <v>3</v>
      </c>
      <c r="B22" s="64" t="s">
        <v>121</v>
      </c>
      <c r="C22" s="3" t="s">
        <v>125</v>
      </c>
      <c r="D22" s="4">
        <v>45852</v>
      </c>
      <c r="E22" s="86" t="s">
        <v>12</v>
      </c>
      <c r="F22" s="87" t="s">
        <v>13</v>
      </c>
      <c r="G22" s="3" t="s">
        <v>25</v>
      </c>
      <c r="H22" s="163">
        <v>45885</v>
      </c>
      <c r="I22" s="31" t="s">
        <v>21</v>
      </c>
      <c r="J22" s="3"/>
      <c r="K22" s="5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43"/>
    </row>
    <row r="23" spans="1:23" ht="14.25" customHeight="1">
      <c r="A23" s="2">
        <v>4</v>
      </c>
      <c r="B23" s="64" t="s">
        <v>120</v>
      </c>
      <c r="C23" s="3" t="s">
        <v>124</v>
      </c>
      <c r="D23" s="4">
        <v>45848</v>
      </c>
      <c r="E23" s="65" t="s">
        <v>12</v>
      </c>
      <c r="F23" s="87" t="s">
        <v>13</v>
      </c>
      <c r="G23" s="3" t="s">
        <v>25</v>
      </c>
      <c r="H23" s="163">
        <v>45972</v>
      </c>
      <c r="I23" s="31" t="s">
        <v>16</v>
      </c>
      <c r="J23" s="3"/>
      <c r="K23" s="5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43"/>
    </row>
    <row r="24" spans="1:23" ht="14.25" customHeight="1">
      <c r="A24" s="2"/>
      <c r="B24" s="3"/>
      <c r="C24" s="3"/>
      <c r="D24" s="3"/>
      <c r="E24" s="65"/>
      <c r="F24" s="3"/>
      <c r="G24" s="3"/>
      <c r="H24" s="3"/>
      <c r="I24" s="3"/>
      <c r="J24" s="3"/>
      <c r="K24" s="5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43"/>
    </row>
    <row r="25" spans="1:23" ht="14.25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5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43"/>
    </row>
    <row r="26" spans="1:23" ht="14.25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43"/>
    </row>
    <row r="27" spans="1:23" ht="14.2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5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43"/>
    </row>
    <row r="28" spans="1:23" ht="14.25" customHeight="1">
      <c r="A28" s="2"/>
      <c r="B28" s="3"/>
      <c r="C28" s="3"/>
      <c r="D28" s="3"/>
      <c r="E28" s="3"/>
      <c r="F28" s="3"/>
      <c r="G28" s="3"/>
      <c r="H28" s="3"/>
      <c r="I28" s="3"/>
      <c r="J28" s="3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3" ht="14.25" customHeight="1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3" ht="14.25" customHeight="1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3" ht="14.25" customHeight="1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3" ht="14.25" customHeight="1">
      <c r="A32" s="2"/>
      <c r="B32" s="3"/>
      <c r="C32" s="3"/>
      <c r="D32" s="3"/>
      <c r="E32" s="3"/>
      <c r="F32" s="3"/>
      <c r="G32" s="3"/>
      <c r="H32" s="3"/>
      <c r="I32" s="3"/>
      <c r="J32" s="3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>
      <c r="A33" s="2"/>
      <c r="B33" s="3"/>
      <c r="C33" s="3"/>
      <c r="D33" s="3"/>
      <c r="E33" s="3"/>
      <c r="F33" s="3"/>
      <c r="G33" s="3"/>
      <c r="H33" s="3"/>
      <c r="I33" s="3"/>
      <c r="J33" s="3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>
      <c r="A38" s="2"/>
      <c r="B38" s="3"/>
      <c r="C38" s="3"/>
      <c r="D38" s="3"/>
      <c r="E38" s="3"/>
      <c r="F38" s="3"/>
      <c r="G38" s="3"/>
      <c r="H38" s="3"/>
      <c r="I38" s="3"/>
      <c r="J38" s="3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>
      <c r="A39" s="2"/>
      <c r="B39" s="3"/>
      <c r="C39" s="3"/>
      <c r="D39" s="3"/>
      <c r="E39" s="3"/>
      <c r="F39" s="3"/>
      <c r="G39" s="3"/>
      <c r="H39" s="3"/>
      <c r="I39" s="3"/>
      <c r="J39" s="3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>
      <c r="A74" s="1"/>
      <c r="B74" s="6"/>
      <c r="C74" s="7"/>
      <c r="D74" s="8"/>
      <c r="E74" s="6"/>
      <c r="F74" s="6"/>
      <c r="G74" s="6"/>
      <c r="H74" s="6"/>
      <c r="I74" s="9"/>
      <c r="J74" s="1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>
      <c r="A75" s="1"/>
      <c r="B75" s="11"/>
      <c r="C75" s="12"/>
      <c r="D75" s="13"/>
      <c r="E75" s="11"/>
      <c r="F75" s="11"/>
      <c r="G75" s="11"/>
      <c r="H75" s="11"/>
      <c r="I75" s="14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>
      <c r="A76" s="1"/>
      <c r="B76" s="11"/>
      <c r="C76" s="12"/>
      <c r="D76" s="13"/>
      <c r="E76" s="11"/>
      <c r="F76" s="11"/>
      <c r="G76" s="11"/>
      <c r="H76" s="11"/>
      <c r="I76" s="14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>
      <c r="A77" s="1"/>
      <c r="B77" s="11"/>
      <c r="C77" s="12"/>
      <c r="D77" s="13"/>
      <c r="E77" s="11"/>
      <c r="F77" s="11"/>
      <c r="G77" s="11"/>
      <c r="H77" s="11"/>
      <c r="I77" s="14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>
      <c r="A78" s="1"/>
      <c r="B78" s="11"/>
      <c r="C78" s="12"/>
      <c r="D78" s="13"/>
      <c r="E78" s="11"/>
      <c r="F78" s="11"/>
      <c r="G78" s="11"/>
      <c r="H78" s="11"/>
      <c r="I78" s="14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>
      <c r="A79" s="1"/>
      <c r="B79" s="11"/>
      <c r="C79" s="12"/>
      <c r="D79" s="13"/>
      <c r="E79" s="11"/>
      <c r="F79" s="11"/>
      <c r="G79" s="11"/>
      <c r="H79" s="11"/>
      <c r="I79" s="14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>
      <c r="A80" s="1"/>
      <c r="B80" s="11"/>
      <c r="C80" s="12"/>
      <c r="D80" s="13"/>
      <c r="E80" s="11"/>
      <c r="F80" s="11"/>
      <c r="G80" s="11"/>
      <c r="H80" s="11"/>
      <c r="I80" s="14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>
      <c r="A81" s="1"/>
      <c r="B81" s="11"/>
      <c r="C81" s="12"/>
      <c r="D81" s="13"/>
      <c r="E81" s="11"/>
      <c r="F81" s="11"/>
      <c r="G81" s="11"/>
      <c r="H81" s="11"/>
      <c r="I81" s="14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>
      <c r="A82" s="1"/>
      <c r="B82" s="11"/>
      <c r="C82" s="12"/>
      <c r="D82" s="13"/>
      <c r="E82" s="11"/>
      <c r="F82" s="11"/>
      <c r="G82" s="11"/>
      <c r="H82" s="11"/>
      <c r="I82" s="14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>
      <c r="A83" s="1"/>
      <c r="B83" s="11"/>
      <c r="C83" s="12"/>
      <c r="D83" s="13"/>
      <c r="E83" s="11"/>
      <c r="F83" s="11"/>
      <c r="G83" s="11"/>
      <c r="H83" s="11"/>
      <c r="I83" s="14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>
      <c r="A84" s="1"/>
      <c r="B84" s="11"/>
      <c r="C84" s="12"/>
      <c r="D84" s="13"/>
      <c r="E84" s="11"/>
      <c r="F84" s="11"/>
      <c r="G84" s="11"/>
      <c r="H84" s="11"/>
      <c r="I84" s="14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>
      <c r="A85" s="1"/>
      <c r="B85" s="11"/>
      <c r="C85" s="12"/>
      <c r="D85" s="13"/>
      <c r="E85" s="11"/>
      <c r="F85" s="11"/>
      <c r="G85" s="11"/>
      <c r="H85" s="11"/>
      <c r="I85" s="14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>
      <c r="A86" s="1"/>
      <c r="B86" s="11"/>
      <c r="C86" s="12"/>
      <c r="D86" s="13"/>
      <c r="E86" s="11"/>
      <c r="F86" s="11"/>
      <c r="G86" s="11"/>
      <c r="H86" s="11"/>
      <c r="I86" s="14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>
      <c r="A87" s="1"/>
      <c r="B87" s="11"/>
      <c r="C87" s="12"/>
      <c r="D87" s="13"/>
      <c r="E87" s="11"/>
      <c r="F87" s="11"/>
      <c r="G87" s="11"/>
      <c r="H87" s="11"/>
      <c r="I87" s="14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 customHeight="1">
      <c r="A88" s="1"/>
      <c r="B88" s="11"/>
      <c r="C88" s="12"/>
      <c r="D88" s="13"/>
      <c r="E88" s="11"/>
      <c r="F88" s="11"/>
      <c r="G88" s="11"/>
      <c r="H88" s="11"/>
      <c r="I88" s="14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 customHeight="1">
      <c r="A89" s="1"/>
      <c r="B89" s="11"/>
      <c r="C89" s="12"/>
      <c r="D89" s="13"/>
      <c r="E89" s="11"/>
      <c r="F89" s="11"/>
      <c r="G89" s="11"/>
      <c r="H89" s="11"/>
      <c r="I89" s="14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 customHeight="1">
      <c r="A90" s="1"/>
      <c r="B90" s="11"/>
      <c r="C90" s="12"/>
      <c r="D90" s="13"/>
      <c r="E90" s="11"/>
      <c r="F90" s="11"/>
      <c r="G90" s="11"/>
      <c r="H90" s="11"/>
      <c r="I90" s="14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 customHeight="1">
      <c r="A91" s="1"/>
      <c r="B91" s="11"/>
      <c r="C91" s="12"/>
      <c r="D91" s="13"/>
      <c r="E91" s="11"/>
      <c r="F91" s="11"/>
      <c r="G91" s="11"/>
      <c r="H91" s="11"/>
      <c r="I91" s="14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 customHeight="1">
      <c r="A92" s="1"/>
      <c r="B92" s="11"/>
      <c r="C92" s="12"/>
      <c r="D92" s="13"/>
      <c r="E92" s="11"/>
      <c r="F92" s="11"/>
      <c r="G92" s="11"/>
      <c r="H92" s="11"/>
      <c r="I92" s="14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 customHeight="1">
      <c r="A93" s="1"/>
      <c r="B93" s="11"/>
      <c r="C93" s="12"/>
      <c r="D93" s="13"/>
      <c r="E93" s="11"/>
      <c r="F93" s="11"/>
      <c r="G93" s="11"/>
      <c r="H93" s="11"/>
      <c r="I93" s="14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 customHeight="1">
      <c r="A94" s="1"/>
      <c r="B94" s="11"/>
      <c r="C94" s="12"/>
      <c r="D94" s="13"/>
      <c r="E94" s="11"/>
      <c r="F94" s="11"/>
      <c r="G94" s="11"/>
      <c r="H94" s="11"/>
      <c r="I94" s="14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 customHeight="1">
      <c r="A95" s="1"/>
      <c r="B95" s="11"/>
      <c r="C95" s="12"/>
      <c r="D95" s="13"/>
      <c r="E95" s="11"/>
      <c r="F95" s="11"/>
      <c r="G95" s="11"/>
      <c r="H95" s="11"/>
      <c r="I95" s="14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 customHeight="1">
      <c r="A96" s="1"/>
      <c r="B96" s="11"/>
      <c r="C96" s="12"/>
      <c r="D96" s="13"/>
      <c r="E96" s="11"/>
      <c r="F96" s="11"/>
      <c r="G96" s="11"/>
      <c r="H96" s="11"/>
      <c r="I96" s="14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 customHeight="1">
      <c r="A97" s="1"/>
      <c r="B97" s="11"/>
      <c r="C97" s="12"/>
      <c r="D97" s="13"/>
      <c r="E97" s="11"/>
      <c r="F97" s="11"/>
      <c r="G97" s="11"/>
      <c r="H97" s="11"/>
      <c r="I97" s="14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 customHeight="1">
      <c r="A98" s="1"/>
      <c r="B98" s="11"/>
      <c r="C98" s="12"/>
      <c r="D98" s="13"/>
      <c r="E98" s="11"/>
      <c r="F98" s="11"/>
      <c r="G98" s="11"/>
      <c r="H98" s="11"/>
      <c r="I98" s="14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 customHeight="1">
      <c r="A99" s="1"/>
      <c r="B99" s="11"/>
      <c r="C99" s="12"/>
      <c r="D99" s="13"/>
      <c r="E99" s="11"/>
      <c r="F99" s="11"/>
      <c r="G99" s="11"/>
      <c r="H99" s="11"/>
      <c r="I99" s="14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 customHeight="1">
      <c r="A100" s="1"/>
      <c r="B100" s="11"/>
      <c r="C100" s="12"/>
      <c r="D100" s="13"/>
      <c r="E100" s="11"/>
      <c r="F100" s="11"/>
      <c r="G100" s="11"/>
      <c r="H100" s="11"/>
      <c r="I100" s="14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 customHeight="1">
      <c r="A101" s="1"/>
      <c r="B101" s="11"/>
      <c r="C101" s="12"/>
      <c r="D101" s="13"/>
      <c r="E101" s="11"/>
      <c r="F101" s="11"/>
      <c r="G101" s="11"/>
      <c r="H101" s="11"/>
      <c r="I101" s="14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 customHeight="1">
      <c r="A102" s="1"/>
      <c r="B102" s="11"/>
      <c r="C102" s="12"/>
      <c r="D102" s="13"/>
      <c r="E102" s="11"/>
      <c r="F102" s="11"/>
      <c r="G102" s="11"/>
      <c r="H102" s="11"/>
      <c r="I102" s="14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 customHeight="1">
      <c r="A103" s="1"/>
      <c r="B103" s="11"/>
      <c r="C103" s="12"/>
      <c r="D103" s="13"/>
      <c r="E103" s="11"/>
      <c r="F103" s="11"/>
      <c r="G103" s="11"/>
      <c r="H103" s="11"/>
      <c r="I103" s="14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 customHeight="1">
      <c r="A104" s="1"/>
      <c r="B104" s="11"/>
      <c r="C104" s="12"/>
      <c r="D104" s="13"/>
      <c r="E104" s="11"/>
      <c r="F104" s="11"/>
      <c r="G104" s="11"/>
      <c r="H104" s="11"/>
      <c r="I104" s="14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 customHeight="1">
      <c r="A105" s="1"/>
      <c r="B105" s="11"/>
      <c r="C105" s="12"/>
      <c r="D105" s="13"/>
      <c r="E105" s="11"/>
      <c r="F105" s="11"/>
      <c r="G105" s="11"/>
      <c r="H105" s="11"/>
      <c r="I105" s="14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 customHeight="1">
      <c r="A106" s="1"/>
      <c r="B106" s="11"/>
      <c r="C106" s="12"/>
      <c r="D106" s="13"/>
      <c r="E106" s="11"/>
      <c r="F106" s="11"/>
      <c r="G106" s="11"/>
      <c r="H106" s="11"/>
      <c r="I106" s="14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 customHeight="1">
      <c r="A107" s="1"/>
      <c r="B107" s="11"/>
      <c r="C107" s="12"/>
      <c r="D107" s="13"/>
      <c r="E107" s="11"/>
      <c r="F107" s="11"/>
      <c r="G107" s="11"/>
      <c r="H107" s="11"/>
      <c r="I107" s="14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 customHeight="1">
      <c r="A108" s="1"/>
      <c r="B108" s="11"/>
      <c r="C108" s="12"/>
      <c r="D108" s="13"/>
      <c r="E108" s="11"/>
      <c r="F108" s="11"/>
      <c r="G108" s="11"/>
      <c r="H108" s="11"/>
      <c r="I108" s="14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 customHeight="1">
      <c r="A109" s="1"/>
      <c r="B109" s="11"/>
      <c r="C109" s="12"/>
      <c r="D109" s="13"/>
      <c r="E109" s="11"/>
      <c r="F109" s="11"/>
      <c r="G109" s="11"/>
      <c r="H109" s="11"/>
      <c r="I109" s="14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 customHeight="1">
      <c r="A110" s="1"/>
      <c r="B110" s="11"/>
      <c r="C110" s="12"/>
      <c r="D110" s="13"/>
      <c r="E110" s="11"/>
      <c r="F110" s="11"/>
      <c r="G110" s="11"/>
      <c r="H110" s="11"/>
      <c r="I110" s="14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 customHeight="1">
      <c r="A111" s="1"/>
      <c r="B111" s="11"/>
      <c r="C111" s="12"/>
      <c r="D111" s="13"/>
      <c r="E111" s="11"/>
      <c r="F111" s="11"/>
      <c r="G111" s="11"/>
      <c r="H111" s="11"/>
      <c r="I111" s="14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 customHeight="1">
      <c r="A112" s="1"/>
      <c r="B112" s="11"/>
      <c r="C112" s="12"/>
      <c r="D112" s="13"/>
      <c r="E112" s="11"/>
      <c r="F112" s="11"/>
      <c r="G112" s="11"/>
      <c r="H112" s="11"/>
      <c r="I112" s="14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 customHeight="1">
      <c r="A113" s="1"/>
      <c r="B113" s="11"/>
      <c r="C113" s="12"/>
      <c r="D113" s="13"/>
      <c r="E113" s="11"/>
      <c r="F113" s="11"/>
      <c r="G113" s="11"/>
      <c r="H113" s="11"/>
      <c r="I113" s="14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 customHeight="1">
      <c r="A114" s="1"/>
      <c r="B114" s="11"/>
      <c r="C114" s="12"/>
      <c r="D114" s="13"/>
      <c r="E114" s="11"/>
      <c r="F114" s="11"/>
      <c r="G114" s="11"/>
      <c r="H114" s="11"/>
      <c r="I114" s="14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 customHeight="1">
      <c r="A115" s="1"/>
      <c r="B115" s="11"/>
      <c r="C115" s="12"/>
      <c r="D115" s="13"/>
      <c r="E115" s="11"/>
      <c r="F115" s="11"/>
      <c r="G115" s="11"/>
      <c r="H115" s="11"/>
      <c r="I115" s="14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 customHeight="1">
      <c r="A116" s="1"/>
      <c r="B116" s="11"/>
      <c r="C116" s="12"/>
      <c r="D116" s="13"/>
      <c r="E116" s="11"/>
      <c r="F116" s="11"/>
      <c r="G116" s="11"/>
      <c r="H116" s="11"/>
      <c r="I116" s="14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 customHeight="1">
      <c r="A117" s="1"/>
      <c r="B117" s="11"/>
      <c r="C117" s="12"/>
      <c r="D117" s="13"/>
      <c r="E117" s="11"/>
      <c r="F117" s="11"/>
      <c r="G117" s="11"/>
      <c r="H117" s="11"/>
      <c r="I117" s="14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 customHeight="1">
      <c r="A118" s="1"/>
      <c r="B118" s="11"/>
      <c r="C118" s="12"/>
      <c r="D118" s="13"/>
      <c r="E118" s="11"/>
      <c r="F118" s="11"/>
      <c r="G118" s="11"/>
      <c r="H118" s="11"/>
      <c r="I118" s="14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 customHeight="1">
      <c r="A119" s="1"/>
      <c r="B119" s="11"/>
      <c r="C119" s="12"/>
      <c r="D119" s="13"/>
      <c r="E119" s="11"/>
      <c r="F119" s="11"/>
      <c r="G119" s="11"/>
      <c r="H119" s="11"/>
      <c r="I119" s="14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 customHeight="1">
      <c r="A120" s="1"/>
      <c r="B120" s="11"/>
      <c r="C120" s="12"/>
      <c r="D120" s="13"/>
      <c r="E120" s="11"/>
      <c r="F120" s="11"/>
      <c r="G120" s="11"/>
      <c r="H120" s="11"/>
      <c r="I120" s="14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 customHeight="1">
      <c r="A121" s="1"/>
      <c r="B121" s="11"/>
      <c r="C121" s="12"/>
      <c r="D121" s="13"/>
      <c r="E121" s="11"/>
      <c r="F121" s="11"/>
      <c r="G121" s="11"/>
      <c r="H121" s="11"/>
      <c r="I121" s="14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 customHeight="1">
      <c r="A122" s="1"/>
      <c r="B122" s="11"/>
      <c r="C122" s="12"/>
      <c r="D122" s="13"/>
      <c r="E122" s="11"/>
      <c r="F122" s="11"/>
      <c r="G122" s="11"/>
      <c r="H122" s="11"/>
      <c r="I122" s="14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 customHeight="1">
      <c r="A123" s="1"/>
      <c r="B123" s="11"/>
      <c r="C123" s="12"/>
      <c r="D123" s="13"/>
      <c r="E123" s="11"/>
      <c r="F123" s="11"/>
      <c r="G123" s="11"/>
      <c r="H123" s="11"/>
      <c r="I123" s="14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 customHeight="1">
      <c r="A124" s="1"/>
      <c r="B124" s="11"/>
      <c r="C124" s="12"/>
      <c r="D124" s="13"/>
      <c r="E124" s="11"/>
      <c r="F124" s="11"/>
      <c r="G124" s="11"/>
      <c r="H124" s="11"/>
      <c r="I124" s="14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 customHeight="1">
      <c r="A125" s="1"/>
      <c r="B125" s="11"/>
      <c r="C125" s="12"/>
      <c r="D125" s="13"/>
      <c r="E125" s="11"/>
      <c r="F125" s="11"/>
      <c r="G125" s="11"/>
      <c r="H125" s="11"/>
      <c r="I125" s="14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 customHeight="1">
      <c r="A126" s="1"/>
      <c r="B126" s="11"/>
      <c r="C126" s="12"/>
      <c r="D126" s="13"/>
      <c r="E126" s="11"/>
      <c r="F126" s="11"/>
      <c r="G126" s="11"/>
      <c r="H126" s="11"/>
      <c r="I126" s="14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 customHeight="1">
      <c r="A127" s="1"/>
      <c r="B127" s="11"/>
      <c r="C127" s="12"/>
      <c r="D127" s="13"/>
      <c r="E127" s="11"/>
      <c r="F127" s="11"/>
      <c r="G127" s="11"/>
      <c r="H127" s="11"/>
      <c r="I127" s="14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 customHeight="1">
      <c r="A128" s="1"/>
      <c r="B128" s="11"/>
      <c r="C128" s="12"/>
      <c r="D128" s="13"/>
      <c r="E128" s="11"/>
      <c r="F128" s="11"/>
      <c r="G128" s="11"/>
      <c r="H128" s="11"/>
      <c r="I128" s="14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 customHeight="1">
      <c r="A129" s="1"/>
      <c r="B129" s="11"/>
      <c r="C129" s="12"/>
      <c r="D129" s="13"/>
      <c r="E129" s="11"/>
      <c r="F129" s="11"/>
      <c r="G129" s="11"/>
      <c r="H129" s="11"/>
      <c r="I129" s="14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 customHeight="1">
      <c r="A130" s="1"/>
      <c r="B130" s="11"/>
      <c r="C130" s="12"/>
      <c r="D130" s="13"/>
      <c r="E130" s="11"/>
      <c r="F130" s="11"/>
      <c r="G130" s="11"/>
      <c r="H130" s="11"/>
      <c r="I130" s="14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 customHeight="1">
      <c r="A131" s="1"/>
      <c r="B131" s="11"/>
      <c r="C131" s="12"/>
      <c r="D131" s="13"/>
      <c r="E131" s="11"/>
      <c r="F131" s="11"/>
      <c r="G131" s="11"/>
      <c r="H131" s="11"/>
      <c r="I131" s="14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 customHeight="1">
      <c r="A132" s="1"/>
      <c r="B132" s="11"/>
      <c r="C132" s="12"/>
      <c r="D132" s="13"/>
      <c r="E132" s="11"/>
      <c r="F132" s="11"/>
      <c r="G132" s="11"/>
      <c r="H132" s="11"/>
      <c r="I132" s="14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 customHeight="1">
      <c r="A133" s="1"/>
      <c r="B133" s="11"/>
      <c r="C133" s="12"/>
      <c r="D133" s="13"/>
      <c r="E133" s="11"/>
      <c r="F133" s="11"/>
      <c r="G133" s="11"/>
      <c r="H133" s="11"/>
      <c r="I133" s="14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 customHeight="1">
      <c r="A134" s="1"/>
      <c r="B134" s="11"/>
      <c r="C134" s="12"/>
      <c r="D134" s="13"/>
      <c r="E134" s="11"/>
      <c r="F134" s="11"/>
      <c r="G134" s="11"/>
      <c r="H134" s="11"/>
      <c r="I134" s="14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 customHeight="1">
      <c r="A135" s="1"/>
      <c r="B135" s="11"/>
      <c r="C135" s="12"/>
      <c r="D135" s="13"/>
      <c r="E135" s="11"/>
      <c r="F135" s="11"/>
      <c r="G135" s="11"/>
      <c r="H135" s="11"/>
      <c r="I135" s="14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 customHeight="1">
      <c r="A136" s="1"/>
      <c r="B136" s="11"/>
      <c r="C136" s="12"/>
      <c r="D136" s="13"/>
      <c r="E136" s="11"/>
      <c r="F136" s="11"/>
      <c r="G136" s="11"/>
      <c r="H136" s="11"/>
      <c r="I136" s="14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 customHeight="1">
      <c r="A137" s="1"/>
      <c r="B137" s="11"/>
      <c r="C137" s="12"/>
      <c r="D137" s="13"/>
      <c r="E137" s="11"/>
      <c r="F137" s="11"/>
      <c r="G137" s="11"/>
      <c r="H137" s="11"/>
      <c r="I137" s="14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 customHeight="1">
      <c r="A138" s="1"/>
      <c r="B138" s="11"/>
      <c r="C138" s="12"/>
      <c r="D138" s="13"/>
      <c r="E138" s="11"/>
      <c r="F138" s="11"/>
      <c r="G138" s="11"/>
      <c r="H138" s="11"/>
      <c r="I138" s="14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 customHeight="1">
      <c r="A139" s="1"/>
      <c r="B139" s="11"/>
      <c r="C139" s="12"/>
      <c r="D139" s="13"/>
      <c r="E139" s="11"/>
      <c r="F139" s="11"/>
      <c r="G139" s="11"/>
      <c r="H139" s="11"/>
      <c r="I139" s="14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 customHeight="1">
      <c r="A140" s="1"/>
      <c r="B140" s="11"/>
      <c r="C140" s="12"/>
      <c r="D140" s="13"/>
      <c r="E140" s="11"/>
      <c r="F140" s="11"/>
      <c r="G140" s="11"/>
      <c r="H140" s="11"/>
      <c r="I140" s="14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 customHeight="1">
      <c r="A141" s="1"/>
      <c r="B141" s="11"/>
      <c r="C141" s="12"/>
      <c r="D141" s="13"/>
      <c r="E141" s="11"/>
      <c r="F141" s="11"/>
      <c r="G141" s="11"/>
      <c r="H141" s="11"/>
      <c r="I141" s="14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 customHeight="1">
      <c r="A142" s="1"/>
      <c r="B142" s="11"/>
      <c r="C142" s="12"/>
      <c r="D142" s="13"/>
      <c r="E142" s="11"/>
      <c r="F142" s="11"/>
      <c r="G142" s="11"/>
      <c r="H142" s="11"/>
      <c r="I142" s="14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 customHeight="1">
      <c r="A143" s="1"/>
      <c r="B143" s="11"/>
      <c r="C143" s="12"/>
      <c r="D143" s="13"/>
      <c r="E143" s="11"/>
      <c r="F143" s="11"/>
      <c r="G143" s="11"/>
      <c r="H143" s="11"/>
      <c r="I143" s="14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 customHeight="1">
      <c r="A144" s="1"/>
      <c r="B144" s="11"/>
      <c r="C144" s="12"/>
      <c r="D144" s="13"/>
      <c r="E144" s="11"/>
      <c r="F144" s="11"/>
      <c r="G144" s="11"/>
      <c r="H144" s="11"/>
      <c r="I144" s="14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 customHeight="1">
      <c r="A145" s="1"/>
      <c r="B145" s="11"/>
      <c r="C145" s="12"/>
      <c r="D145" s="13"/>
      <c r="E145" s="11"/>
      <c r="F145" s="11"/>
      <c r="G145" s="11"/>
      <c r="H145" s="11"/>
      <c r="I145" s="14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 customHeight="1">
      <c r="A146" s="1"/>
      <c r="B146" s="11"/>
      <c r="C146" s="12"/>
      <c r="D146" s="13"/>
      <c r="E146" s="11"/>
      <c r="F146" s="11"/>
      <c r="G146" s="11"/>
      <c r="H146" s="11"/>
      <c r="I146" s="14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 customHeight="1">
      <c r="A147" s="1"/>
      <c r="B147" s="11"/>
      <c r="C147" s="12"/>
      <c r="D147" s="13"/>
      <c r="E147" s="11"/>
      <c r="F147" s="11"/>
      <c r="G147" s="11"/>
      <c r="H147" s="11"/>
      <c r="I147" s="14"/>
      <c r="J147" s="5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 customHeight="1">
      <c r="A148" s="1"/>
      <c r="B148" s="11"/>
      <c r="C148" s="12"/>
      <c r="D148" s="13"/>
      <c r="E148" s="11"/>
      <c r="F148" s="11"/>
      <c r="G148" s="11"/>
      <c r="H148" s="11"/>
      <c r="I148" s="14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 customHeight="1">
      <c r="A149" s="1"/>
      <c r="B149" s="11"/>
      <c r="C149" s="12"/>
      <c r="D149" s="13"/>
      <c r="E149" s="11"/>
      <c r="F149" s="11"/>
      <c r="G149" s="11"/>
      <c r="H149" s="11"/>
      <c r="I149" s="14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 customHeight="1">
      <c r="A150" s="1"/>
      <c r="B150" s="11"/>
      <c r="C150" s="12"/>
      <c r="D150" s="13"/>
      <c r="E150" s="11"/>
      <c r="F150" s="11"/>
      <c r="G150" s="11"/>
      <c r="H150" s="11"/>
      <c r="I150" s="14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 customHeight="1">
      <c r="A151" s="1"/>
      <c r="B151" s="11"/>
      <c r="C151" s="12"/>
      <c r="D151" s="13"/>
      <c r="E151" s="11"/>
      <c r="F151" s="11"/>
      <c r="G151" s="11"/>
      <c r="H151" s="11"/>
      <c r="I151" s="14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 customHeight="1">
      <c r="A152" s="1"/>
      <c r="B152" s="11"/>
      <c r="C152" s="12"/>
      <c r="D152" s="13"/>
      <c r="E152" s="11"/>
      <c r="F152" s="11"/>
      <c r="G152" s="11"/>
      <c r="H152" s="11"/>
      <c r="I152" s="14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 customHeight="1">
      <c r="A153" s="1"/>
      <c r="B153" s="11"/>
      <c r="C153" s="12"/>
      <c r="D153" s="13"/>
      <c r="E153" s="11"/>
      <c r="F153" s="11"/>
      <c r="G153" s="11"/>
      <c r="H153" s="11"/>
      <c r="I153" s="14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 customHeight="1">
      <c r="A154" s="1"/>
      <c r="B154" s="11"/>
      <c r="C154" s="12"/>
      <c r="D154" s="13"/>
      <c r="E154" s="11"/>
      <c r="F154" s="11"/>
      <c r="G154" s="11"/>
      <c r="H154" s="11"/>
      <c r="I154" s="14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 customHeight="1">
      <c r="A155" s="1"/>
      <c r="B155" s="11"/>
      <c r="C155" s="12"/>
      <c r="D155" s="13"/>
      <c r="E155" s="11"/>
      <c r="F155" s="11"/>
      <c r="G155" s="11"/>
      <c r="H155" s="11"/>
      <c r="I155" s="14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 customHeight="1">
      <c r="A156" s="1"/>
      <c r="B156" s="11"/>
      <c r="C156" s="12"/>
      <c r="D156" s="13"/>
      <c r="E156" s="11"/>
      <c r="F156" s="11"/>
      <c r="G156" s="11"/>
      <c r="H156" s="11"/>
      <c r="I156" s="14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 customHeight="1">
      <c r="A157" s="1"/>
      <c r="B157" s="11"/>
      <c r="C157" s="12"/>
      <c r="D157" s="13"/>
      <c r="E157" s="11"/>
      <c r="F157" s="11"/>
      <c r="G157" s="11"/>
      <c r="H157" s="11"/>
      <c r="I157" s="14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 customHeight="1">
      <c r="A158" s="1"/>
      <c r="B158" s="11"/>
      <c r="C158" s="12"/>
      <c r="D158" s="13"/>
      <c r="E158" s="11"/>
      <c r="F158" s="11"/>
      <c r="G158" s="11"/>
      <c r="H158" s="11"/>
      <c r="I158" s="14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 customHeight="1">
      <c r="A159" s="1"/>
      <c r="B159" s="11"/>
      <c r="C159" s="12"/>
      <c r="D159" s="13"/>
      <c r="E159" s="11"/>
      <c r="F159" s="11"/>
      <c r="G159" s="11"/>
      <c r="H159" s="11"/>
      <c r="I159" s="14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 customHeight="1">
      <c r="A160" s="1"/>
      <c r="B160" s="11"/>
      <c r="C160" s="12"/>
      <c r="D160" s="13"/>
      <c r="E160" s="11"/>
      <c r="F160" s="11"/>
      <c r="G160" s="11"/>
      <c r="H160" s="11"/>
      <c r="I160" s="14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 customHeight="1">
      <c r="A161" s="1"/>
      <c r="B161" s="11"/>
      <c r="C161" s="12"/>
      <c r="D161" s="13"/>
      <c r="E161" s="11"/>
      <c r="F161" s="11"/>
      <c r="G161" s="11"/>
      <c r="H161" s="11"/>
      <c r="I161" s="14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 customHeight="1">
      <c r="A162" s="1"/>
      <c r="B162" s="11"/>
      <c r="C162" s="12"/>
      <c r="D162" s="13"/>
      <c r="E162" s="11"/>
      <c r="F162" s="11"/>
      <c r="G162" s="11"/>
      <c r="H162" s="11"/>
      <c r="I162" s="14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 customHeight="1">
      <c r="A163" s="1"/>
      <c r="B163" s="11"/>
      <c r="C163" s="12"/>
      <c r="D163" s="13"/>
      <c r="E163" s="11"/>
      <c r="F163" s="11"/>
      <c r="G163" s="11"/>
      <c r="H163" s="11"/>
      <c r="I163" s="14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 customHeight="1">
      <c r="A164" s="1"/>
      <c r="B164" s="11"/>
      <c r="C164" s="12"/>
      <c r="D164" s="13"/>
      <c r="E164" s="11"/>
      <c r="F164" s="11"/>
      <c r="G164" s="11"/>
      <c r="H164" s="11"/>
      <c r="I164" s="14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 customHeight="1">
      <c r="A165" s="1"/>
      <c r="B165" s="11"/>
      <c r="C165" s="12"/>
      <c r="D165" s="13"/>
      <c r="E165" s="11"/>
      <c r="F165" s="11"/>
      <c r="G165" s="11"/>
      <c r="H165" s="11"/>
      <c r="I165" s="14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 customHeight="1">
      <c r="A166" s="1"/>
      <c r="B166" s="11"/>
      <c r="C166" s="12"/>
      <c r="D166" s="13"/>
      <c r="E166" s="11"/>
      <c r="F166" s="11"/>
      <c r="G166" s="11"/>
      <c r="H166" s="11"/>
      <c r="I166" s="14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 customHeight="1">
      <c r="A167" s="1"/>
      <c r="B167" s="11"/>
      <c r="C167" s="12"/>
      <c r="D167" s="13"/>
      <c r="E167" s="11"/>
      <c r="F167" s="11"/>
      <c r="G167" s="11"/>
      <c r="H167" s="11"/>
      <c r="I167" s="1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 customHeight="1">
      <c r="A168" s="1"/>
      <c r="B168" s="11"/>
      <c r="C168" s="12"/>
      <c r="D168" s="13"/>
      <c r="E168" s="11"/>
      <c r="F168" s="11"/>
      <c r="G168" s="11"/>
      <c r="H168" s="11"/>
      <c r="I168" s="1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 customHeight="1">
      <c r="A169" s="1"/>
      <c r="B169" s="11"/>
      <c r="C169" s="12"/>
      <c r="D169" s="13"/>
      <c r="E169" s="11"/>
      <c r="F169" s="11"/>
      <c r="G169" s="11"/>
      <c r="H169" s="11"/>
      <c r="I169" s="1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 customHeight="1">
      <c r="A170" s="1"/>
      <c r="B170" s="11"/>
      <c r="C170" s="12"/>
      <c r="D170" s="13"/>
      <c r="E170" s="11"/>
      <c r="F170" s="11"/>
      <c r="G170" s="11"/>
      <c r="H170" s="11"/>
      <c r="I170" s="1"/>
      <c r="J170" s="5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 customHeight="1">
      <c r="A171" s="1"/>
      <c r="B171" s="11"/>
      <c r="C171" s="12"/>
      <c r="D171" s="13"/>
      <c r="E171" s="11"/>
      <c r="F171" s="11"/>
      <c r="G171" s="11"/>
      <c r="H171" s="11"/>
      <c r="I171" s="1"/>
      <c r="J171" s="5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 customHeight="1">
      <c r="A172" s="1"/>
      <c r="B172" s="11"/>
      <c r="C172" s="12"/>
      <c r="D172" s="13"/>
      <c r="E172" s="11"/>
      <c r="F172" s="11"/>
      <c r="G172" s="11"/>
      <c r="H172" s="11"/>
      <c r="I172" s="1"/>
      <c r="J172" s="5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 customHeight="1">
      <c r="A173" s="1"/>
      <c r="B173" s="11"/>
      <c r="C173" s="12"/>
      <c r="D173" s="13"/>
      <c r="E173" s="11"/>
      <c r="F173" s="11"/>
      <c r="G173" s="11"/>
      <c r="H173" s="11"/>
      <c r="I173" s="1"/>
      <c r="J173" s="5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 customHeight="1">
      <c r="A174" s="1"/>
      <c r="B174" s="11"/>
      <c r="C174" s="12"/>
      <c r="D174" s="13"/>
      <c r="E174" s="11"/>
      <c r="F174" s="11"/>
      <c r="G174" s="11"/>
      <c r="H174" s="11"/>
      <c r="I174" s="1"/>
      <c r="J174" s="5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5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5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5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5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5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5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5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5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5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5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5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5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5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5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5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5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5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5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5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5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5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5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5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5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5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5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5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5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5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5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5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5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5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5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5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5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5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5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5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5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5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5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5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5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5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5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5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5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5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5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5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5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5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5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5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5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5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5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5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5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5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5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5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5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5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5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5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5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5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5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5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5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5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5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5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5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5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5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5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5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5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5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5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5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5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5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5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5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5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5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5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5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5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5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5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5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5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5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5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5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5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5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5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5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5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5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5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5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5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5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5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5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5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5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5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5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5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5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5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5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5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5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5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5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5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5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5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5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5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5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5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5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5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5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5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5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5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5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5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5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5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5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5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5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5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5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5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5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5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5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5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5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5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5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5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5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5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5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5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5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5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5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5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5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5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5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5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5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5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5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5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5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5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5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5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5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5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5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5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5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5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5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5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5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5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5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5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5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5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5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5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5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5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5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5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5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5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5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5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5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5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5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5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5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5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5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5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5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5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5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5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5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5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5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5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5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5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5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5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5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5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5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5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5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5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5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5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5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5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5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5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5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5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5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5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5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5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5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5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5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5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5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5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5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5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5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5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5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5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5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5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5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5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5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5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5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5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5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5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5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5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5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5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5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5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5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5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5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5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5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5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5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5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5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5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5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5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5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5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5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5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5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5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5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5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5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5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5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5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5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5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5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5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5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5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5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5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5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5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5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5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5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5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5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5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5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5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5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5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5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5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5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5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5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5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5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5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5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5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5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5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5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5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5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5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5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5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5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5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5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5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5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5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5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5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5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5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5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5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5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5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5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5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5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5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5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5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5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5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5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5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5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5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5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5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5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5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5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5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5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5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5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5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5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5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5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5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5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5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5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5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5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5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5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5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5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5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5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5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5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5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5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5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5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5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5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5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5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5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5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5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5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5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5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5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5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5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5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5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5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5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5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5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5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5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5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5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5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5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5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5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5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5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5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5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5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5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5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5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5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5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5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5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5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5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5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5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5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5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5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5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5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5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5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5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5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5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5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5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5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5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5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5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5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5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5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5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5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5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5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5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5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5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5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5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5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5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5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5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5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5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5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5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5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5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5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5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5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5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5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5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5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5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5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5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5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5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5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5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5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5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5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5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5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5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5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5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5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5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5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5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5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5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5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5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5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5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5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5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5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5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5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5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5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5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5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5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5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5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5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5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5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5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5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5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5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5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5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5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5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5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5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5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5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5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5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5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5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5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5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5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5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5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5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5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5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5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5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5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5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5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5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5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5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5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5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5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5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5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5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5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5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5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5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5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5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5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5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5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5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5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5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5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5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5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5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5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5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5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5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5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5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5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5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5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5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5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5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5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5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5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5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5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5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5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5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5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5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5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5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5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5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5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5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5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5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5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5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5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5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5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5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5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5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5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5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5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5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5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5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5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5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5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5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5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5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5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5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5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5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5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5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5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5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5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5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5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5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5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5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5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5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5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5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5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5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5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5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5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5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5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5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5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5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5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5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5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5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5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5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5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5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5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5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5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5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5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5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5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5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5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5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5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5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5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5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5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5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5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5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5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5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5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5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5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5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5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5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5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5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5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5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5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5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5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5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5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5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5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5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5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5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5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5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5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5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5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5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5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5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5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5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5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5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5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5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5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5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5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5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5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5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5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5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5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5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5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5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5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5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5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5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5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5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5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5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5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5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5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5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5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5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5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5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5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5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5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5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5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5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5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5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5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5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5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5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5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5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5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5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5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5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5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5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5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5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5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5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5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5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5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5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5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5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5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5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5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5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5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5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5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5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5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5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5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5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5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5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5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5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5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5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5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5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5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5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5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5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5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5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5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5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5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5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5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5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5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5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5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5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5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5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5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5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5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5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5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5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5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5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5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5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5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5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5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5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5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5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5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5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5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5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5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5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5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5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autoFilter ref="A4:K17" xr:uid="{00000000-0009-0000-0000-000000000000}"/>
  <sortState xmlns:xlrd2="http://schemas.microsoft.com/office/spreadsheetml/2017/richdata2" ref="B21:B23">
    <sortCondition ref="B20:B23"/>
  </sortState>
  <mergeCells count="4">
    <mergeCell ref="A19:K19"/>
    <mergeCell ref="A3:K3"/>
    <mergeCell ref="A2:K2"/>
    <mergeCell ref="L1:O7"/>
  </mergeCells>
  <pageMargins left="0.511811024" right="0.511811024" top="0.78740157499999996" bottom="0.78740157499999996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8B07-1496-421C-ABB8-2DA0914E6AD1}">
  <dimension ref="A1:E929"/>
  <sheetViews>
    <sheetView workbookViewId="0">
      <selection activeCell="B16" sqref="B16"/>
    </sheetView>
  </sheetViews>
  <sheetFormatPr defaultColWidth="14.44140625" defaultRowHeight="15" customHeight="1"/>
  <cols>
    <col min="1" max="1" width="12" customWidth="1"/>
    <col min="2" max="2" width="68.21875" customWidth="1"/>
    <col min="3" max="3" width="52.44140625" customWidth="1"/>
    <col min="4" max="4" width="7.88671875" customWidth="1"/>
    <col min="5" max="5" width="7.44140625" customWidth="1"/>
    <col min="6" max="27" width="8.88671875" customWidth="1"/>
  </cols>
  <sheetData>
    <row r="1" spans="1:5" ht="14.25" customHeight="1">
      <c r="A1" s="153" t="s">
        <v>165</v>
      </c>
      <c r="B1" s="147"/>
      <c r="C1" s="147"/>
      <c r="D1" s="147"/>
      <c r="E1" s="147"/>
    </row>
    <row r="2" spans="1:5" ht="14.25" customHeight="1">
      <c r="A2" s="15" t="s">
        <v>49</v>
      </c>
      <c r="B2" s="102" t="s">
        <v>173</v>
      </c>
      <c r="C2" s="102" t="s">
        <v>174</v>
      </c>
      <c r="D2" s="15" t="s">
        <v>51</v>
      </c>
      <c r="E2" s="15" t="s">
        <v>52</v>
      </c>
    </row>
    <row r="3" spans="1:5" s="40" customFormat="1" ht="15.6" customHeight="1">
      <c r="A3" s="39"/>
      <c r="B3" s="30" t="s">
        <v>209</v>
      </c>
      <c r="C3" s="104" t="s">
        <v>193</v>
      </c>
      <c r="D3" s="30">
        <v>-1480</v>
      </c>
      <c r="E3" s="94">
        <f>D3</f>
        <v>-1480</v>
      </c>
    </row>
    <row r="4" spans="1:5" ht="14.25" customHeight="1">
      <c r="A4" s="20"/>
      <c r="B4" s="30" t="s">
        <v>166</v>
      </c>
      <c r="C4" s="104" t="s">
        <v>203</v>
      </c>
      <c r="D4" s="95">
        <v>-140</v>
      </c>
      <c r="E4" s="24">
        <f>D4+E3</f>
        <v>-1620</v>
      </c>
    </row>
    <row r="5" spans="1:5" ht="14.25" customHeight="1">
      <c r="A5" s="20"/>
      <c r="B5" s="30" t="s">
        <v>206</v>
      </c>
      <c r="C5" s="104" t="s">
        <v>175</v>
      </c>
      <c r="D5" s="30">
        <v>-800</v>
      </c>
      <c r="E5" s="56">
        <f t="shared" ref="E5:E9" si="0">D5+E4</f>
        <v>-2420</v>
      </c>
    </row>
    <row r="6" spans="1:5" ht="14.25" customHeight="1">
      <c r="A6" s="20"/>
      <c r="B6" s="95" t="s">
        <v>207</v>
      </c>
      <c r="C6" s="104" t="s">
        <v>175</v>
      </c>
      <c r="D6" s="108">
        <v>-400</v>
      </c>
      <c r="E6" s="96">
        <f>D6+E5</f>
        <v>-2820</v>
      </c>
    </row>
    <row r="7" spans="1:5" ht="14.25" customHeight="1">
      <c r="A7" s="20"/>
      <c r="B7" s="30" t="s">
        <v>213</v>
      </c>
      <c r="C7" s="104" t="s">
        <v>175</v>
      </c>
      <c r="D7" s="108">
        <v>-130</v>
      </c>
      <c r="E7" s="96">
        <f t="shared" si="0"/>
        <v>-2950</v>
      </c>
    </row>
    <row r="8" spans="1:5" ht="14.25" customHeight="1">
      <c r="A8" s="20"/>
      <c r="B8" s="30" t="s">
        <v>176</v>
      </c>
      <c r="C8" s="105" t="s">
        <v>192</v>
      </c>
      <c r="D8" s="109">
        <v>-920</v>
      </c>
      <c r="E8" s="97">
        <f>E7+D8</f>
        <v>-3870</v>
      </c>
    </row>
    <row r="9" spans="1:5" ht="14.25" customHeight="1">
      <c r="A9" s="20"/>
      <c r="B9" s="30" t="s">
        <v>211</v>
      </c>
      <c r="C9" s="104" t="s">
        <v>175</v>
      </c>
      <c r="D9" s="161">
        <v>-1040</v>
      </c>
      <c r="E9" s="98">
        <f t="shared" si="0"/>
        <v>-4910</v>
      </c>
    </row>
    <row r="10" spans="1:5" ht="14.25" customHeight="1">
      <c r="A10" s="20"/>
      <c r="B10" s="131" t="s">
        <v>205</v>
      </c>
      <c r="C10" s="104" t="s">
        <v>175</v>
      </c>
      <c r="D10" s="161">
        <v>-780</v>
      </c>
      <c r="E10" s="99">
        <f>D10+E9</f>
        <v>-5690</v>
      </c>
    </row>
    <row r="11" spans="1:5" ht="14.25" customHeight="1">
      <c r="A11" s="20"/>
      <c r="B11" s="95" t="s">
        <v>204</v>
      </c>
      <c r="C11" s="104" t="s">
        <v>175</v>
      </c>
      <c r="D11" s="95">
        <v>-260</v>
      </c>
      <c r="E11" s="99">
        <f>D11+E10</f>
        <v>-5950</v>
      </c>
    </row>
    <row r="12" spans="1:5" ht="14.25" customHeight="1">
      <c r="A12" s="20"/>
      <c r="B12" s="33"/>
      <c r="C12" s="104"/>
      <c r="D12" s="30"/>
      <c r="E12" s="61">
        <f>E11+D12</f>
        <v>-5950</v>
      </c>
    </row>
    <row r="13" spans="1:5" ht="14.25" customHeight="1">
      <c r="A13" s="20"/>
      <c r="B13" s="30"/>
      <c r="C13" s="104"/>
      <c r="D13" s="30"/>
      <c r="E13" s="61">
        <f>E12+D13</f>
        <v>-5950</v>
      </c>
    </row>
    <row r="14" spans="1:5" ht="14.25" customHeight="1">
      <c r="A14" s="20"/>
      <c r="B14" s="30"/>
      <c r="C14" s="104"/>
      <c r="D14" s="30"/>
      <c r="E14" s="61">
        <f>E13+D14</f>
        <v>-5950</v>
      </c>
    </row>
    <row r="15" spans="1:5" ht="14.25" customHeight="1">
      <c r="A15" s="20"/>
      <c r="B15" s="30"/>
      <c r="C15" s="104"/>
      <c r="D15" s="30"/>
      <c r="E15" s="61">
        <f t="shared" ref="E15" si="1">E14+D15</f>
        <v>-5950</v>
      </c>
    </row>
    <row r="16" spans="1:5" ht="14.25" customHeight="1">
      <c r="A16" s="72"/>
      <c r="B16" s="30"/>
      <c r="C16" s="106"/>
      <c r="D16" s="70"/>
      <c r="E16" s="61">
        <f>D16+E15</f>
        <v>-5950</v>
      </c>
    </row>
    <row r="17" spans="1:5" ht="14.25" customHeight="1">
      <c r="A17" s="20"/>
      <c r="B17" s="30"/>
      <c r="C17" s="106"/>
      <c r="D17" s="70"/>
      <c r="E17" s="61">
        <f>D17+E16</f>
        <v>-5950</v>
      </c>
    </row>
    <row r="18" spans="1:5" ht="14.25" customHeight="1">
      <c r="A18" s="20"/>
      <c r="B18" s="30"/>
      <c r="C18" s="106"/>
      <c r="D18" s="70"/>
      <c r="E18" s="61">
        <f>D18+E17</f>
        <v>-5950</v>
      </c>
    </row>
    <row r="19" spans="1:5" ht="14.25" customHeight="1">
      <c r="A19" s="20"/>
      <c r="B19" s="33"/>
      <c r="C19" s="106"/>
      <c r="D19" s="70"/>
      <c r="E19" s="61"/>
    </row>
    <row r="20" spans="1:5" ht="14.25" customHeight="1">
      <c r="A20" s="20"/>
      <c r="B20" s="33"/>
      <c r="C20" s="106"/>
      <c r="D20" s="70"/>
      <c r="E20" s="61"/>
    </row>
    <row r="21" spans="1:5" ht="14.25" customHeight="1">
      <c r="A21" s="154"/>
      <c r="B21" s="144"/>
      <c r="C21" s="107"/>
      <c r="D21" s="152"/>
      <c r="E21" s="144"/>
    </row>
    <row r="22" spans="1:5" ht="14.25" customHeight="1">
      <c r="A22" s="143"/>
      <c r="B22" s="144"/>
      <c r="C22" s="107"/>
      <c r="D22" s="149"/>
      <c r="E22" s="144"/>
    </row>
    <row r="23" spans="1:5" ht="14.25" customHeight="1">
      <c r="A23" s="143"/>
      <c r="B23" s="144"/>
      <c r="C23" s="107"/>
      <c r="D23" s="151"/>
      <c r="E23" s="144"/>
    </row>
    <row r="24" spans="1:5" ht="14.25" customHeight="1">
      <c r="A24" s="143"/>
      <c r="B24" s="144"/>
      <c r="C24" s="107"/>
      <c r="D24" s="150"/>
      <c r="E24" s="144"/>
    </row>
    <row r="25" spans="1:5" ht="14.25" customHeight="1">
      <c r="A25" s="143"/>
      <c r="B25" s="144"/>
      <c r="C25" s="107"/>
      <c r="D25" s="150"/>
      <c r="E25" s="144"/>
    </row>
    <row r="26" spans="1:5" ht="14.25" customHeight="1">
      <c r="A26" s="143"/>
      <c r="B26" s="144"/>
      <c r="C26" s="100"/>
      <c r="D26" s="150"/>
      <c r="E26" s="144"/>
    </row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</sheetData>
  <autoFilter ref="A2:E9" xr:uid="{00000000-0009-0000-0000-000004000000}">
    <sortState xmlns:xlrd2="http://schemas.microsoft.com/office/spreadsheetml/2017/richdata2" ref="A2:E9">
      <sortCondition ref="A2:A9"/>
    </sortState>
  </autoFilter>
  <mergeCells count="13">
    <mergeCell ref="A24:B24"/>
    <mergeCell ref="D24:E24"/>
    <mergeCell ref="A25:B25"/>
    <mergeCell ref="D25:E25"/>
    <mergeCell ref="A26:B26"/>
    <mergeCell ref="D26:E26"/>
    <mergeCell ref="A23:B23"/>
    <mergeCell ref="D23:E23"/>
    <mergeCell ref="A1:E1"/>
    <mergeCell ref="A21:B21"/>
    <mergeCell ref="D21:E21"/>
    <mergeCell ref="A22:B22"/>
    <mergeCell ref="D22:E22"/>
  </mergeCells>
  <conditionalFormatting sqref="E2">
    <cfRule type="cellIs" dxfId="2" priority="3" operator="equal">
      <formula>#REF!</formula>
    </cfRule>
  </conditionalFormatting>
  <conditionalFormatting sqref="E2:E5 E8:E9 E12:E20 E27:E929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B2" sqref="B2:B6"/>
    </sheetView>
  </sheetViews>
  <sheetFormatPr defaultColWidth="14.44140625" defaultRowHeight="15" customHeight="1"/>
  <cols>
    <col min="1" max="1" width="5.109375" customWidth="1"/>
    <col min="2" max="2" width="12.109375" customWidth="1"/>
    <col min="3" max="26" width="9.109375" customWidth="1"/>
  </cols>
  <sheetData>
    <row r="1" spans="1:26" ht="14.25" customHeight="1">
      <c r="A1" s="159">
        <v>2025</v>
      </c>
      <c r="B1" s="160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4.25" customHeight="1">
      <c r="A2" s="28" t="s">
        <v>92</v>
      </c>
      <c r="B2" s="29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>
      <c r="A3" s="28" t="s">
        <v>93</v>
      </c>
      <c r="B3" s="29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>
      <c r="A4" s="28" t="s">
        <v>94</v>
      </c>
      <c r="B4" s="29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>
      <c r="A5" s="28" t="s">
        <v>95</v>
      </c>
      <c r="B5" s="29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>
      <c r="A6" s="28" t="s">
        <v>96</v>
      </c>
      <c r="B6" s="29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>
      <c r="A7" s="28"/>
      <c r="B7" s="29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>
      <c r="A8" s="28"/>
      <c r="B8" s="29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>
      <c r="A9" s="28"/>
      <c r="B9" s="29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:B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JANEIRO.2026</vt:lpstr>
      <vt:lpstr>Caixa 2026</vt:lpstr>
      <vt:lpstr>Alunos</vt:lpstr>
      <vt:lpstr>PENDENCIAS</vt:lpstr>
      <vt:lpstr>Saldo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Ateliê Dos Doces</dc:creator>
  <cp:lastModifiedBy>pc</cp:lastModifiedBy>
  <dcterms:created xsi:type="dcterms:W3CDTF">2020-03-10T22:26:02Z</dcterms:created>
  <dcterms:modified xsi:type="dcterms:W3CDTF">2026-01-29T14:50:02Z</dcterms:modified>
</cp:coreProperties>
</file>